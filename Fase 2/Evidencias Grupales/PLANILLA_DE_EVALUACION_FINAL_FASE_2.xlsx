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RUBRICA" sheetId="1" state="visible" r:id="rId1"/>
    <sheet name="EVALUACION1" sheetId="2" state="visible"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<sst xmlns="http://schemas.openxmlformats.org/spreadsheetml/2006/main" count="79" uniqueCount="79">
  <si>
    <t xml:space="preserve">Indicador de Evaluación</t>
  </si>
  <si>
    <t xml:space="preserve">Categorías de Respuesta</t>
  </si>
  <si>
    <t xml:space="preserve">Ponderación del Indicador de Evaluación</t>
  </si>
  <si>
    <r>
      <t xml:space="preserve">Completamente Logrado</t>
    </r>
    <r>
      <rPr>
        <b/>
        <sz val="10"/>
        <color indexed="65"/>
        <rFont val="Calibri"/>
      </rPr>
      <t xml:space="preserve">  (100%)</t>
    </r>
  </si>
  <si>
    <r>
      <t>Logrado</t>
    </r>
    <r>
      <rPr>
        <b/>
        <sz val="10"/>
        <color indexed="65"/>
        <rFont val="Calibri"/>
      </rPr>
      <t xml:space="preserve">  (60%)</t>
    </r>
  </si>
  <si>
    <t xml:space="preserve">Logro incipiente </t>
  </si>
  <si>
    <t xml:space="preserve">No logrado</t>
  </si>
  <si>
    <t xml:space="preserve">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</si>
  <si>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</si>
  <si>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</si>
  <si>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</si>
  <si>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</si>
  <si>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2. Genera evidencias que dan cuenta del cumplimiento del Proyecto CAPSTONE, en relación a documentación, programación y almacenamiento de datos, de acuerdo a lo planificado por el equipo y que cumpla con estándares de desarrollo de la industria</t>
  </si>
  <si>
    <t xml:space="preserve">Genera evidencias que dan cuenta del cumplimiento del Proyecto CAPSTONE, en relación a documentación, programación y almacenamiento de datos, de acuerdo a lo planificado por el equipo y que cumpla con estándares de desarrollo de la industria</t>
  </si>
  <si>
    <t xml:space="preserve">Genera evidencias que dan cuenta del cumplimiento del Proyecto CAPSTONE, en relación a documentación, programación y almacenamiento de datos, de acuerdo a lo planificado por el equipo y no cumplen con estándares de desarrollo de la industria</t>
  </si>
  <si>
    <t xml:space="preserve">Genera evidencias pero ellas no dan cuenta del cumplimiento del Proyecto CAPSTONE, en relación a documentación, programación y almacenamiento de datos, de acuerdo a lo planificado por el equipo, pero si cumple con estándares de desarrollo de la industria</t>
  </si>
  <si>
    <t xml:space="preserve">Genera evidencias pero ellas no dan cuenta del cumplimiento del Proyecto CAPSTONE, en relación a documentación, programación y almacenamiento de datos, de acuerdo a lo planificado por el equipo, y no cumplen con estándares de desarrollo de la industria</t>
  </si>
  <si>
    <t xml:space="preserve">3. Relaciona el Proyecto APT con sus intereses profesionales. *</t>
  </si>
  <si>
    <t xml:space="preserve">Menciona los intereses profesionales y explica con claridad cómo estos se ven reflejados en el proyecto. </t>
  </si>
  <si>
    <t xml:space="preserve">Menciona los intereses profesionales, pero no queda completamente clara su conexión con el proyecto.</t>
  </si>
  <si>
    <t xml:space="preserve">Menciona los intereses profesionales sin conectarlos con el proyecto. </t>
  </si>
  <si>
    <t xml:space="preserve">No menciona los intereses profesionales.</t>
  </si>
  <si>
    <t xml:space="preserve">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</si>
  <si>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</si>
  <si>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 xml:space="preserve">Describe una relación coherente entre el proyecto y el perfil de egreso del plan de estudio, pero no especifica cómo debe utilizar distintas competencias para desarrollar su Proyecto APT.</t>
  </si>
  <si>
    <t xml:space="preserve">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</si>
  <si>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</si>
  <si>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 xml:space="preserve">5. Utiliza de manera precisa el lenguaje técnico en los entregables de acuerdo con lo requerido por la disciplina.</t>
  </si>
  <si>
    <t xml:space="preserve">Utiliza lenguaje técnico de su disciplina en todos los entregables de avance del proyecto. </t>
  </si>
  <si>
    <t xml:space="preserve">Utiliza lenguaje técnico de su disciplina en la mayoría de los entregables de avance del proyecto</t>
  </si>
  <si>
    <t xml:space="preserve">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</si>
  <si>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</si>
  <si>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</si>
  <si>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 xml:space="preserve">El texto cumple con las reglas ortografía y de redacción en todos sus apartados y utiliza correctamente todas las normas de citación y referencias.</t>
  </si>
  <si>
    <t xml:space="preserve">El texto presenta de 1 a 5 errores de ortografía, redacción o en las citas y referencias del informe.</t>
  </si>
  <si>
    <t xml:space="preserve">El texto presenta de 6 a 10 errores de ortografía, redacción o en las citas y referencias del informe.</t>
  </si>
  <si>
    <t xml:space="preserve">El texto presenta más de 10 errores de ortografía, redacción o en las citas y referencias del informe.</t>
  </si>
  <si>
    <t xml:space="preserve">7. Entrega la documentación y evidencias requerida por la asignatura de acuerdo a la estrucutra y nombres solicitados, guardando todas las evidencias de avances en Git</t>
  </si>
  <si>
    <t xml:space="preserve">Entrega la documentación y evidencias requeridas por la asignatura de acuerdo a la estrucutra y nombres solicitados, guardando todas las evidencias de avances en Git</t>
  </si>
  <si>
    <t xml:space="preserve">Entrega la documentación y evidencias requeridas por la asignatura de acuerdo a la estrucutra y nombres solicitados, guardando algunas de las evidencias de avances en Git</t>
  </si>
  <si>
    <t xml:space="preserve">Entrega la documentación y evidencias requeridas por la asignatura sin una la estrucutra y nombres solicitados, guardando algunas de las evidencias de avances en Git</t>
  </si>
  <si>
    <t xml:space="preserve">No entrega a través de Git la documentación y evidencias de avance requeridas por la asignatura</t>
  </si>
  <si>
    <t xml:space="preserve">8. Expone el tema utilizando un lenguaje técnico disciplinar al presentar la propuesta y responde evidenciando un manejo de la información. *</t>
  </si>
  <si>
    <t xml:space="preserve">Expone el tema utilizando un lenguaje técnico disciplinar al presentar la propuesta y responde evidenciando un manejo de la información en todo momento</t>
  </si>
  <si>
    <t xml:space="preserve">Expone el tema utilizando un lenguaje técnico disciplinar al presentar la propuesta y responde evidenciando un manejo de la información la mayoría del tiempo.</t>
  </si>
  <si>
    <t xml:space="preserve">Expone el tema utilizando un lenguaje técnico disciplinar al presentar la propuesta y responde evidenciando un manejo de la información la mitad del tiempo.</t>
  </si>
  <si>
    <t xml:space="preserve">Expone el tema utilizando un lenguaje técnico disciplinar al presentar la propuesta y responde evidenciando un manejo de la información en menos de la mitad del tiempo.</t>
  </si>
  <si>
    <t xml:space="preserve">9.-Generan evidencias claras dentro del repositorio  del aporte de cada uno de los integrantes del equipo que permitan identificar la equidad en el trabajo y la participación de cada estudiante.</t>
  </si>
  <si>
    <t xml:space="preserve">Generan evidencias dentro del repositorio  del proyecto del aporte de cada uno de los integrantes del equipo que permitan identificar la equidad en el trabajo y la participación de cada estudiante</t>
  </si>
  <si>
    <t xml:space="preserve">Generan evidencias dentro del repositorio  del proyecto del aporte de cada uno de los integrantes del equipo pero la evidencia no demuestra una equidad en la participación de cada estudiante</t>
  </si>
  <si>
    <t xml:space="preserve">Generan evidencias dentro del repositorio  del proyecto del aporte de cada uno de los integrantes del equipo pero la evidencia no demuestra la participación de algunos(s) participante(s) del equipo</t>
  </si>
  <si>
    <t xml:space="preserve">No generan evidencias dentro del repositorio  del proyecto del aporte de cada uno de los integrantes del equipo por lo que no se permite identificar la equidad en el trabajo y la participación de cada estudiante</t>
  </si>
  <si>
    <t xml:space="preserve">10. Colaboración y trabajo en equipo *</t>
  </si>
  <si>
    <t xml:space="preserve">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</si>
  <si>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</si>
  <si>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</si>
  <si>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</si>
  <si>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</si>
  <si>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</si>
  <si>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</si>
  <si>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 xml:space="preserve">JUAN JOSE QUIROGA</t>
  </si>
  <si>
    <t xml:space="preserve">SERGIO RODRIGUEZ</t>
  </si>
  <si>
    <t xml:space="preserve">JUSTIN RIQUELME</t>
  </si>
  <si>
    <t xml:space="preserve">JUAN AGUIRRE</t>
  </si>
  <si>
    <t xml:space="preserve">Nivel de Logro</t>
  </si>
  <si>
    <t xml:space="preserve">NIVELES DE LOGRO Y PUNTAJES</t>
  </si>
  <si>
    <t xml:space="preserve">Aspectos a Evaluar</t>
  </si>
  <si>
    <t xml:space="preserve">Completamente logrado</t>
  </si>
  <si>
    <t>Logrado</t>
  </si>
  <si>
    <t xml:space="preserve">Logro Incipiente</t>
  </si>
  <si>
    <t>Puntaje</t>
  </si>
  <si>
    <t>Nota</t>
  </si>
  <si>
    <t xml:space="preserve">Capacidad de Trabajo en Equipo</t>
  </si>
  <si>
    <t>PUNTAJE</t>
  </si>
  <si>
    <t>PUNTOS</t>
  </si>
  <si>
    <t>NOTA</t>
  </si>
  <si>
    <t>Relevancia</t>
  </si>
  <si>
    <t xml:space="preserve">Logro incipiente</t>
  </si>
  <si>
    <t xml:space="preserve">Muy Relevante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</si>
</sst>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13">
    <font>
      <sz val="11.000000"/>
      <color theme="1"/>
      <name val="Calibri"/>
    </font>
    <font>
      <b/>
      <sz val="10.000000"/>
      <color indexed="65"/>
      <name val="Calibri"/>
    </font>
    <font>
      <b/>
      <sz val="11.000000"/>
      <color indexed="65"/>
      <name val="Calibri"/>
    </font>
    <font>
      <sz val="10.000000"/>
      <name val="Calibri"/>
    </font>
    <font>
      <b/>
      <sz val="10.000000"/>
      <name val="Calibri"/>
    </font>
    <font>
      <sz val="10.000000"/>
      <color theme="1"/>
      <name val="Calibri"/>
    </font>
    <font>
      <b/>
      <sz val="11.000000"/>
      <name val="Calibri"/>
    </font>
    <font>
      <sz val="11.000000"/>
      <name val="Calibri"/>
    </font>
    <font>
      <sz val="20.000000"/>
      <name val="Calibri"/>
    </font>
    <font>
      <b/>
      <sz val="14.000000"/>
      <name val="Calibri"/>
    </font>
    <font>
      <sz val="9.000000"/>
      <name val="Calibri"/>
    </font>
    <font>
      <sz val="14.000000"/>
      <name val="Calibri"/>
    </font>
    <font>
      <sz val="16.000000"/>
      <name val="Calibri"/>
    </font>
  </fonts>
  <fills count="10">
    <fill>
      <patternFill patternType="none"/>
    </fill>
    <fill>
      <patternFill patternType="gray125"/>
    </fill>
    <fill>
      <patternFill patternType="solid">
        <fgColor rgb="FF262626"/>
      </patternFill>
    </fill>
    <fill>
      <patternFill patternType="solid">
        <f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medium">
        <color rgb="FF7F7F7F"/>
      </left>
      <right style="medium">
        <color rgb="FF7F7F7F"/>
      </right>
      <top style="medium">
        <color rgb="FF7F7F7F"/>
      </top>
      <bottom style="none"/>
      <diagonal style="none"/>
    </border>
    <border>
      <left style="none"/>
      <right style="medium">
        <color rgb="FF7F7F7F"/>
      </right>
      <top style="none"/>
      <bottom style="none"/>
      <diagonal style="none"/>
    </border>
    <border>
      <left style="medium">
        <color rgb="FF7F7F7F"/>
      </left>
      <right style="medium">
        <color rgb="FF7F7F7F"/>
      </right>
      <top style="none"/>
      <bottom style="medium">
        <color rgb="FF7F7F7F"/>
      </bottom>
      <diagonal style="none"/>
    </border>
    <border>
      <left style="none"/>
      <right style="medium">
        <color rgb="FF7F7F7F"/>
      </right>
      <top style="none"/>
      <bottom style="medium">
        <color rgb="FF7F7F7F"/>
      </bottom>
      <diagonal style="none"/>
    </border>
    <border>
      <left style="none"/>
      <right style="none"/>
      <top style="none"/>
      <bottom style="medium">
        <color rgb="FF7F7F7F"/>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none"/>
      <diagonal style="none"/>
    </border>
    <border>
      <left style="thin">
        <color auto="1"/>
      </left>
      <right style="none"/>
      <top style="none"/>
      <bottom style="none"/>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medium">
        <color auto="1"/>
      </left>
      <right style="medium">
        <color auto="1"/>
      </right>
      <top style="medium">
        <color auto="1"/>
      </top>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medium">
        <color auto="1"/>
      </right>
      <top style="none"/>
      <bottom style="medium">
        <color auto="1"/>
      </bottom>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s>
  <cellStyleXfs count="1">
    <xf fontId="0" fillId="0" borderId="0" numFmtId="0" applyNumberFormat="1" applyFont="1" applyFill="1" applyBorder="1"/>
  </cellStyleXfs>
  <cellXfs count="77">
    <xf fontId="0" fillId="0" borderId="0" numFmtId="0" xfId="0"/>
    <xf fontId="1" fillId="2" borderId="1" numFmtId="0" xfId="0" applyFont="1" applyFill="1" applyBorder="1" applyAlignment="1">
      <alignment horizontal="center" vertical="center" wrapText="1"/>
    </xf>
    <xf fontId="2" fillId="2" borderId="1" numFmtId="0" xfId="0" applyFont="1" applyFill="1" applyBorder="1" applyAlignment="1">
      <alignment horizontal="center" vertical="center" wrapText="1"/>
    </xf>
    <xf fontId="1" fillId="2" borderId="1" numFmtId="9" xfId="0" applyNumberFormat="1" applyFont="1" applyFill="1" applyBorder="1" applyAlignment="1">
      <alignment horizontal="center" vertical="center" wrapText="1"/>
    </xf>
    <xf fontId="3" fillId="0" borderId="1" numFmtId="0" xfId="0" applyFont="1" applyBorder="1" applyAlignment="1">
      <alignment horizontal="justify" vertical="center" wrapText="1"/>
    </xf>
    <xf fontId="4" fillId="0" borderId="1" numFmtId="0" xfId="0" applyFont="1" applyBorder="1" applyAlignment="1">
      <alignment horizontal="center" vertical="center" wrapText="1"/>
    </xf>
    <xf fontId="3" fillId="3" borderId="1" numFmtId="0" xfId="0" applyFont="1" applyFill="1" applyBorder="1" applyAlignment="1">
      <alignment horizontal="justify" vertical="center" wrapText="1"/>
    </xf>
    <xf fontId="3" fillId="3" borderId="2" numFmtId="0" xfId="0" applyFont="1" applyFill="1" applyBorder="1" applyAlignment="1">
      <alignment horizontal="justify" vertical="center" wrapText="1"/>
    </xf>
    <xf fontId="3" fillId="0" borderId="2" numFmtId="0" xfId="0" applyFont="1" applyBorder="1" applyAlignment="1">
      <alignment horizontal="justify" vertical="center" wrapText="1"/>
    </xf>
    <xf fontId="3" fillId="0" borderId="3" numFmtId="0" xfId="0" applyFont="1" applyBorder="1" applyAlignment="1">
      <alignment horizontal="justify" vertical="center" wrapText="1"/>
    </xf>
    <xf fontId="3" fillId="3" borderId="4" numFmtId="0" xfId="0" applyFont="1" applyFill="1" applyBorder="1" applyAlignment="1">
      <alignment horizontal="justify" vertical="center" wrapText="1"/>
    </xf>
    <xf fontId="3" fillId="0" borderId="5" numFmtId="0" xfId="0" applyFont="1" applyBorder="1" applyAlignment="1">
      <alignment horizontal="justify" vertical="center" wrapText="1"/>
    </xf>
    <xf fontId="3" fillId="0" borderId="6" numFmtId="0" xfId="0" applyFont="1" applyBorder="1" applyAlignment="1">
      <alignment horizontal="justify" vertical="center" wrapText="1"/>
    </xf>
    <xf fontId="5" fillId="3" borderId="1" numFmtId="0" xfId="0" applyFont="1" applyFill="1" applyBorder="1" applyAlignment="1">
      <alignment horizontal="justify" vertical="center" wrapText="1"/>
    </xf>
    <xf fontId="5" fillId="0" borderId="1" numFmtId="0" xfId="0" applyFont="1" applyBorder="1" applyAlignment="1">
      <alignment horizontal="justify" vertical="center" wrapText="1"/>
    </xf>
    <xf fontId="4" fillId="0" borderId="5" numFmtId="0" xfId="0" applyFont="1" applyBorder="1" applyAlignment="1">
      <alignment horizontal="center" vertical="center" wrapText="1"/>
    </xf>
    <xf fontId="3" fillId="0" borderId="4" numFmtId="0" xfId="0" applyFont="1" applyBorder="1" applyAlignment="1">
      <alignment horizontal="justify" vertical="center" wrapText="1"/>
    </xf>
    <xf fontId="0" fillId="4" borderId="1" numFmtId="9" xfId="0" applyNumberFormat="1" applyFill="1" applyBorder="1" applyAlignment="1">
      <alignment horizontal="center" vertical="center" wrapText="1"/>
    </xf>
    <xf fontId="0" fillId="5" borderId="7" numFmtId="9" xfId="0" applyNumberFormat="1" applyFill="1" applyBorder="1" applyAlignment="1">
      <alignment horizontal="center" vertical="center"/>
    </xf>
    <xf fontId="6" fillId="0" borderId="0" numFmtId="0" xfId="0" applyFont="1"/>
    <xf fontId="0" fillId="4" borderId="1" numFmtId="0" xfId="0" applyFill="1" applyBorder="1" applyAlignment="1">
      <alignment horizontal="center" vertical="center" wrapText="1"/>
    </xf>
    <xf fontId="7" fillId="0" borderId="8" numFmtId="0" xfId="0" applyFont="1" applyBorder="1"/>
    <xf fontId="0" fillId="0" borderId="0" numFmtId="0" xfId="0" applyAlignment="1">
      <alignment horizontal="right" vertical="center"/>
    </xf>
    <xf fontId="0" fillId="0" borderId="9" numFmtId="0" xfId="0" applyBorder="1" applyAlignment="1">
      <alignment horizontal="left"/>
    </xf>
    <xf fontId="0" fillId="4" borderId="1" numFmtId="164" xfId="0" applyNumberFormat="1" applyFill="1" applyBorder="1" applyAlignment="1">
      <alignment horizontal="center"/>
    </xf>
    <xf fontId="0" fillId="5" borderId="1" numFmtId="164" xfId="0" applyNumberFormat="1" applyFill="1" applyBorder="1" applyAlignment="1">
      <alignment horizontal="center"/>
    </xf>
    <xf fontId="0" fillId="0" borderId="0" numFmtId="164" xfId="0" applyNumberFormat="1"/>
    <xf fontId="8" fillId="6" borderId="7" numFmtId="0" xfId="0" applyFont="1" applyFill="1" applyBorder="1" applyAlignment="1">
      <alignment horizontal="center" textRotation="255" vertical="center"/>
    </xf>
    <xf fontId="9" fillId="7" borderId="1" numFmtId="0" xfId="0" applyFont="1" applyFill="1" applyBorder="1" applyAlignment="1">
      <alignment horizontal="center" vertical="center"/>
    </xf>
    <xf fontId="4" fillId="7" borderId="7" numFmtId="0" xfId="0" applyFont="1" applyFill="1" applyBorder="1" applyAlignment="1">
      <alignment horizontal="center" vertical="center"/>
    </xf>
    <xf fontId="4" fillId="7" borderId="9" numFmtId="0" xfId="0" applyFont="1" applyFill="1" applyBorder="1" applyAlignment="1">
      <alignment horizontal="center" vertical="center"/>
    </xf>
    <xf fontId="7" fillId="0" borderId="10" numFmtId="0" xfId="0" applyFont="1" applyBorder="1"/>
    <xf fontId="7" fillId="0" borderId="11" numFmtId="0" xfId="0" applyFont="1" applyBorder="1"/>
    <xf fontId="7" fillId="0" borderId="12" numFmtId="0" xfId="0" applyFont="1" applyBorder="1"/>
    <xf fontId="7" fillId="0" borderId="13" numFmtId="0" xfId="0" applyFont="1" applyBorder="1"/>
    <xf fontId="10" fillId="0" borderId="1" numFmtId="0" xfId="0" applyFont="1" applyBorder="1" applyAlignment="1">
      <alignment horizontal="left" vertical="center" wrapText="1"/>
    </xf>
    <xf fontId="3" fillId="0" borderId="11" numFmtId="0" xfId="0" applyFont="1" applyBorder="1" applyAlignment="1">
      <alignment horizontal="left" vertical="center"/>
    </xf>
    <xf fontId="3" fillId="0" borderId="1" numFmtId="0" xfId="0" applyFont="1" applyBorder="1" applyAlignment="1">
      <alignment horizontal="center" vertical="center"/>
    </xf>
    <xf fontId="10" fillId="0" borderId="8" numFmtId="0" xfId="0" applyFont="1" applyBorder="1" applyAlignment="1">
      <alignment horizontal="right" vertical="center" wrapText="1"/>
    </xf>
    <xf fontId="11" fillId="0" borderId="7" numFmtId="0" xfId="0" applyFont="1" applyBorder="1"/>
    <xf fontId="0" fillId="8" borderId="1" numFmtId="0" xfId="0" applyFill="1" applyBorder="1"/>
    <xf fontId="10" fillId="0" borderId="9" numFmtId="0" xfId="0" applyFont="1" applyBorder="1" applyAlignment="1">
      <alignment horizontal="right" vertical="center" wrapText="1"/>
    </xf>
    <xf fontId="11" fillId="0" borderId="1" numFmtId="164" xfId="0" applyNumberFormat="1" applyFont="1" applyBorder="1"/>
    <xf fontId="0" fillId="9" borderId="7" numFmtId="0" xfId="0" applyFill="1" applyBorder="1" applyAlignment="1">
      <alignment horizontal="center" textRotation="255" vertical="center"/>
    </xf>
    <xf fontId="0" fillId="5" borderId="7" numFmtId="0" xfId="0" applyFill="1" applyBorder="1" applyAlignment="1">
      <alignment horizontal="right" vertical="center"/>
    </xf>
    <xf fontId="12" fillId="0" borderId="14" numFmtId="0" xfId="0" applyFont="1" applyBorder="1" applyAlignment="1">
      <alignment horizontal="left" vertical="center"/>
    </xf>
    <xf fontId="7" fillId="0" borderId="15" numFmtId="0" xfId="0" applyFont="1" applyBorder="1"/>
    <xf fontId="7" fillId="0" borderId="16" numFmtId="0" xfId="0" applyFont="1" applyBorder="1"/>
    <xf fontId="7" fillId="0" borderId="17" numFmtId="0" xfId="0" applyFont="1" applyBorder="1"/>
    <xf fontId="7" fillId="0" borderId="18" numFmtId="0" xfId="0" applyFont="1" applyBorder="1"/>
    <xf fontId="7" fillId="0" borderId="19" numFmtId="0" xfId="0" applyFont="1" applyBorder="1"/>
    <xf fontId="4" fillId="7" borderId="1" numFmtId="0" xfId="0" applyFont="1" applyFill="1" applyBorder="1" applyAlignment="1">
      <alignment horizontal="center" vertical="center"/>
    </xf>
    <xf fontId="6" fillId="0" borderId="1" numFmtId="0" xfId="0" applyFont="1" applyBorder="1" applyAlignment="1">
      <alignment horizontal="right" vertical="center" wrapText="1"/>
    </xf>
    <xf fontId="11" fillId="0" borderId="1" numFmtId="0" xfId="0" applyFont="1" applyBorder="1"/>
    <xf fontId="10" fillId="0" borderId="1" numFmtId="0" xfId="0" applyFont="1" applyBorder="1" applyAlignment="1">
      <alignment horizontal="right" vertical="center" wrapText="1"/>
    </xf>
    <xf fontId="10" fillId="0" borderId="0" numFmtId="0" xfId="0" applyFont="1" applyAlignment="1">
      <alignment horizontal="right" vertical="center" wrapText="1"/>
    </xf>
    <xf fontId="11" fillId="0" borderId="0" numFmtId="164" xfId="0" applyNumberFormat="1" applyFont="1"/>
    <xf fontId="12" fillId="0" borderId="15" numFmtId="0" xfId="0" applyFont="1" applyBorder="1" applyAlignment="1">
      <alignment horizontal="left" vertical="center"/>
    </xf>
    <xf fontId="12" fillId="0" borderId="16" numFmtId="0" xfId="0" applyFont="1" applyBorder="1" applyAlignment="1">
      <alignment horizontal="left" vertical="center"/>
    </xf>
    <xf fontId="7" fillId="0" borderId="8" numFmtId="0" xfId="0" applyFont="1" applyBorder="1"/>
    <xf fontId="7" fillId="0" borderId="17" numFmtId="0" xfId="0" applyFont="1" applyBorder="1"/>
    <xf fontId="7" fillId="0" borderId="18" numFmtId="0" xfId="0" applyFont="1" applyBorder="1"/>
    <xf fontId="7" fillId="0" borderId="19" numFmtId="0" xfId="0" applyFont="1" applyBorder="1"/>
    <xf fontId="4" fillId="7" borderId="10" numFmtId="0" xfId="0" applyFont="1" applyFill="1" applyBorder="1" applyAlignment="1">
      <alignment horizontal="center" vertical="center"/>
    </xf>
    <xf fontId="4" fillId="7" borderId="11" numFmtId="0" xfId="0" applyFont="1" applyFill="1" applyBorder="1" applyAlignment="1">
      <alignment horizontal="center" vertical="center"/>
    </xf>
    <xf fontId="3" fillId="0" borderId="1" numFmtId="0" xfId="0" applyFont="1" applyBorder="1" applyAlignment="1">
      <alignment horizontal="left" vertical="center"/>
    </xf>
    <xf fontId="0" fillId="0" borderId="0" numFmtId="0" xfId="0">
      <protection hidden="0" locked="1"/>
    </xf>
    <xf fontId="6" fillId="7" borderId="20" numFmtId="0" xfId="0" applyFont="1" applyFill="1" applyBorder="1" applyAlignment="1">
      <alignment horizontal="left" vertical="center" wrapText="1"/>
    </xf>
    <xf fontId="6" fillId="7" borderId="21" numFmtId="0" xfId="0" applyFont="1" applyFill="1" applyBorder="1" applyAlignment="1">
      <alignment vertical="center" wrapText="1"/>
    </xf>
    <xf fontId="6" fillId="7" borderId="22" numFmtId="0" xfId="0" applyFont="1" applyFill="1" applyBorder="1" applyAlignment="1">
      <alignment vertical="center" wrapText="1"/>
    </xf>
    <xf fontId="6" fillId="7" borderId="23" numFmtId="0" xfId="0" applyFont="1" applyFill="1" applyBorder="1" applyAlignment="1">
      <alignment vertical="center" wrapText="1"/>
    </xf>
    <xf fontId="7" fillId="0" borderId="24" numFmtId="0" xfId="0" applyFont="1" applyBorder="1"/>
    <xf fontId="6" fillId="7" borderId="25" numFmtId="0" xfId="0" applyFont="1" applyFill="1" applyBorder="1" applyAlignment="1">
      <alignment vertical="center" wrapText="1"/>
    </xf>
    <xf fontId="6" fillId="7" borderId="26" numFmtId="0" xfId="0" applyFont="1" applyFill="1" applyBorder="1" applyAlignment="1">
      <alignment vertical="center" wrapText="1"/>
    </xf>
    <xf fontId="6" fillId="7" borderId="27" numFmtId="0" xfId="0" applyFont="1" applyFill="1" applyBorder="1" applyAlignment="1">
      <alignment vertical="center" wrapText="1"/>
    </xf>
    <xf fontId="6" fillId="0" borderId="24" numFmtId="0" xfId="0" applyFont="1" applyBorder="1" applyAlignment="1">
      <alignment horizontal="left" vertical="center" wrapText="1"/>
    </xf>
    <xf fontId="6" fillId="0" borderId="27" numFmt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80" workbookViewId="0">
      <selection activeCell="F11" activeCellId="0" sqref="F11"/>
    </sheetView>
  </sheetViews>
  <sheetFormatPr defaultColWidth="11.42578125" defaultRowHeight="14.449999999999999"/>
  <cols>
    <col customWidth="1" min="1" max="6" width="38.7109375"/>
  </cols>
  <sheetData>
    <row r="1">
      <c r="A1" s="1" t="s">
        <v>0</v>
      </c>
      <c r="B1" s="1" t="s">
        <v>1</v>
      </c>
      <c r="C1" s="1"/>
      <c r="D1" s="1"/>
      <c r="E1" s="1"/>
      <c r="F1" s="1" t="s">
        <v>2</v>
      </c>
    </row>
    <row r="2">
      <c r="A2" s="1"/>
      <c r="B2" s="2" t="s">
        <v>3</v>
      </c>
      <c r="C2" s="2" t="s">
        <v>4</v>
      </c>
      <c r="D2" s="2" t="s">
        <v>5</v>
      </c>
      <c r="E2" s="1" t="s">
        <v>6</v>
      </c>
      <c r="F2" s="1"/>
    </row>
    <row r="3">
      <c r="A3" s="1"/>
      <c r="B3" s="2"/>
      <c r="C3" s="2"/>
      <c r="D3" s="3">
        <v>-0.29999999999999999</v>
      </c>
      <c r="E3" s="3">
        <v>0</v>
      </c>
      <c r="F3" s="1"/>
    </row>
    <row r="4" ht="55.149999999999999">
      <c r="A4" s="4" t="s">
        <v>7</v>
      </c>
      <c r="B4" s="4" t="s">
        <v>8</v>
      </c>
      <c r="C4" s="4" t="s">
        <v>9</v>
      </c>
      <c r="D4" s="4" t="s">
        <v>10</v>
      </c>
      <c r="E4" s="4" t="s">
        <v>11</v>
      </c>
      <c r="F4" s="5">
        <v>10</v>
      </c>
    </row>
    <row r="5" ht="82.900000000000006">
      <c r="A5" s="6" t="s">
        <v>12</v>
      </c>
      <c r="B5" s="4" t="s">
        <v>13</v>
      </c>
      <c r="C5" s="4" t="s">
        <v>14</v>
      </c>
      <c r="D5" s="4" t="s">
        <v>15</v>
      </c>
      <c r="E5" s="4" t="s">
        <v>16</v>
      </c>
      <c r="F5" s="5">
        <v>20</v>
      </c>
    </row>
    <row r="6" ht="42">
      <c r="A6" s="6" t="s">
        <v>17</v>
      </c>
      <c r="B6" s="4" t="s">
        <v>18</v>
      </c>
      <c r="C6" s="4" t="s">
        <v>19</v>
      </c>
      <c r="D6" s="4" t="s">
        <v>20</v>
      </c>
      <c r="E6" s="4" t="s">
        <v>21</v>
      </c>
      <c r="F6" s="5">
        <v>5</v>
      </c>
    </row>
    <row r="7" ht="69">
      <c r="A7" s="7" t="s">
        <v>22</v>
      </c>
      <c r="B7" s="8" t="s">
        <v>23</v>
      </c>
      <c r="C7" s="8" t="s">
        <v>24</v>
      </c>
      <c r="D7" s="8" t="s">
        <v>25</v>
      </c>
      <c r="E7" s="9" t="s">
        <v>26</v>
      </c>
      <c r="F7" s="5">
        <v>5</v>
      </c>
    </row>
    <row r="8" ht="41.450000000000003">
      <c r="A8" s="6" t="s">
        <v>27</v>
      </c>
      <c r="B8" s="4" t="s">
        <v>28</v>
      </c>
      <c r="C8" s="4" t="s">
        <v>29</v>
      </c>
      <c r="D8" s="4" t="s">
        <v>30</v>
      </c>
      <c r="E8" s="4" t="s">
        <v>31</v>
      </c>
      <c r="F8" s="5">
        <v>5</v>
      </c>
    </row>
    <row r="9" ht="55.149999999999999">
      <c r="A9" s="6" t="s">
        <v>32</v>
      </c>
      <c r="B9" s="4" t="s">
        <v>33</v>
      </c>
      <c r="C9" s="4" t="s">
        <v>34</v>
      </c>
      <c r="D9" s="4" t="s">
        <v>35</v>
      </c>
      <c r="E9" s="4" t="s">
        <v>36</v>
      </c>
      <c r="F9" s="5">
        <v>5</v>
      </c>
    </row>
    <row r="10" ht="55.149999999999999">
      <c r="A10" s="6" t="s">
        <v>37</v>
      </c>
      <c r="B10" s="4" t="s">
        <v>38</v>
      </c>
      <c r="C10" s="4" t="s">
        <v>39</v>
      </c>
      <c r="D10" s="4" t="s">
        <v>40</v>
      </c>
      <c r="E10" s="4" t="s">
        <v>41</v>
      </c>
      <c r="F10" s="5">
        <v>15</v>
      </c>
    </row>
    <row r="11" ht="55.899999999999999">
      <c r="A11" s="10" t="s">
        <v>42</v>
      </c>
      <c r="B11" s="11" t="s">
        <v>43</v>
      </c>
      <c r="C11" s="11" t="s">
        <v>44</v>
      </c>
      <c r="D11" s="11" t="s">
        <v>45</v>
      </c>
      <c r="E11" s="12" t="s">
        <v>46</v>
      </c>
      <c r="F11" s="5">
        <v>10</v>
      </c>
    </row>
    <row r="12" ht="69.599999999999994">
      <c r="A12" s="13" t="s">
        <v>47</v>
      </c>
      <c r="B12" s="14" t="s">
        <v>48</v>
      </c>
      <c r="C12" s="14" t="s">
        <v>49</v>
      </c>
      <c r="D12" s="14" t="s">
        <v>50</v>
      </c>
      <c r="E12" s="14" t="s">
        <v>51</v>
      </c>
      <c r="F12" s="15">
        <v>15</v>
      </c>
    </row>
    <row r="13" ht="97.150000000000006">
      <c r="A13" s="16" t="s">
        <v>52</v>
      </c>
      <c r="B13" s="11" t="s">
        <v>53</v>
      </c>
      <c r="C13" s="11" t="s">
        <v>54</v>
      </c>
      <c r="D13" s="11" t="s">
        <v>55</v>
      </c>
      <c r="E13" s="11" t="s">
        <v>56</v>
      </c>
      <c r="F13" s="5">
        <v>10</v>
      </c>
    </row>
  </sheetData>
  <mergeCells count="5">
    <mergeCell ref="A1:A3"/>
    <mergeCell ref="B1:E1"/>
    <mergeCell ref="F1:F3"/>
    <mergeCell ref="B2:B3"/>
    <mergeCell ref="C2:C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120" workbookViewId="0">
      <selection activeCell="B53" activeCellId="0" sqref="B53"/>
    </sheetView>
  </sheetViews>
  <sheetFormatPr defaultColWidth="14.42578125" defaultRowHeight="15" customHeight="1" outlineLevelRow="1"/>
  <cols>
    <col customWidth="1" min="1" max="1" width="10.7109375"/>
    <col customWidth="1" min="2" max="2" width="66.85546875"/>
    <col bestFit="1" customWidth="1" min="3" max="3" width="22"/>
    <col customWidth="1" min="4" max="4" width="11.28515625"/>
    <col customWidth="1" min="5" max="7" width="11.7109375"/>
    <col customWidth="1" min="8" max="8" width="7.7109375"/>
    <col customWidth="1" min="9" max="9" width="11.7109375"/>
    <col customWidth="1" min="10" max="10" width="7.7109375"/>
    <col customWidth="1" min="11" max="11" width="11.7109375"/>
    <col customWidth="1" min="12" max="24" width="10.7109375"/>
  </cols>
  <sheetData>
    <row r="2" ht="14.449999999999999">
      <c r="C2" s="17">
        <v>0.75</v>
      </c>
      <c r="D2" s="17">
        <v>0.25</v>
      </c>
      <c r="E2" s="18">
        <v>1</v>
      </c>
    </row>
    <row r="3" ht="14.449999999999999">
      <c r="B3" s="19" t="s">
        <v>57</v>
      </c>
      <c r="C3" s="20" t="s">
        <v>58</v>
      </c>
      <c r="D3" s="17" t="s">
        <v>59</v>
      </c>
      <c r="E3" s="21"/>
    </row>
    <row r="4" ht="14.449999999999999">
      <c r="A4" s="22">
        <v>1</v>
      </c>
      <c r="B4" s="23" t="s">
        <v>60</v>
      </c>
      <c r="C4" s="24">
        <f>EVALUACION1!$C$21</f>
        <v>5</v>
      </c>
      <c r="D4" s="24">
        <f>$C$32</f>
        <v>7</v>
      </c>
      <c r="E4" s="25">
        <f t="shared" ref="E4:E6" si="0">C4*C$2+D4*D$2</f>
        <v>5.5</v>
      </c>
      <c r="G4" s="26"/>
    </row>
    <row r="5" ht="14.449999999999999">
      <c r="A5" s="22">
        <v>2</v>
      </c>
      <c r="B5" s="23" t="s">
        <v>61</v>
      </c>
      <c r="C5" s="24">
        <f>EVALUACION1!$C$21</f>
        <v>5</v>
      </c>
      <c r="D5" s="24">
        <f>C44</f>
        <v>7</v>
      </c>
      <c r="E5" s="25">
        <f t="shared" si="0"/>
        <v>5.5</v>
      </c>
      <c r="G5" s="26"/>
    </row>
    <row r="6" ht="14.449999999999999">
      <c r="A6" s="22">
        <v>3</v>
      </c>
      <c r="B6" s="23" t="s">
        <v>62</v>
      </c>
      <c r="C6" s="24">
        <f>EVALUACION1!$C$21</f>
        <v>5</v>
      </c>
      <c r="D6" s="24">
        <f>C55</f>
        <v>5.7999999999999998</v>
      </c>
      <c r="E6" s="25">
        <f t="shared" si="0"/>
        <v>5.2000000000000002</v>
      </c>
      <c r="G6" s="26"/>
    </row>
    <row r="7" ht="15" customHeight="1">
      <c r="A7">
        <v>4</v>
      </c>
      <c r="B7" s="23" t="s">
        <v>63</v>
      </c>
      <c r="C7" s="24">
        <f>EVALUACION1!$C$21</f>
        <v>5</v>
      </c>
      <c r="D7" s="24">
        <f>C66</f>
        <v>5.7999999999999998</v>
      </c>
      <c r="E7" s="25">
        <f>C7*C$2+D7*D$2</f>
        <v>5.2000000000000002</v>
      </c>
    </row>
    <row r="11" ht="18.75" outlineLevel="1">
      <c r="A11" s="27" t="s">
        <v>58</v>
      </c>
      <c r="B11" s="28"/>
      <c r="C11" s="29" t="s">
        <v>64</v>
      </c>
      <c r="D11" s="30" t="s">
        <v>65</v>
      </c>
      <c r="E11" s="31"/>
      <c r="F11" s="31"/>
      <c r="G11" s="31"/>
      <c r="H11" s="31"/>
      <c r="I11" s="31"/>
      <c r="J11" s="31"/>
      <c r="K11" s="32"/>
    </row>
    <row r="12" ht="14.449999999999999" outlineLevel="1">
      <c r="A12" s="33"/>
      <c r="B12" s="29" t="s">
        <v>66</v>
      </c>
      <c r="C12" s="21"/>
      <c r="D12" s="30" t="s">
        <v>67</v>
      </c>
      <c r="E12" s="32"/>
      <c r="F12" s="30" t="s">
        <v>68</v>
      </c>
      <c r="G12" s="32"/>
      <c r="H12" s="30" t="s">
        <v>69</v>
      </c>
      <c r="I12" s="32"/>
      <c r="J12" s="30" t="s">
        <v>6</v>
      </c>
      <c r="K12" s="32"/>
    </row>
    <row r="13" ht="25.5" outlineLevel="1">
      <c r="A13" s="34"/>
      <c r="B13" s="35" t="str">
        <f>RUBRICA!A4</f>
        <v xml:space="preserve">1. Implementa una metodología que permite el logro de los objetivos propuestos, de acuerdo a los estándares de la disciplina.</v>
      </c>
      <c r="C13" s="36" t="s">
        <v>67</v>
      </c>
      <c r="D13" s="37" t="str">
        <f t="shared" ref="D13:D53" si="1">IF($C13=CL,"X","")</f>
        <v>X</v>
      </c>
      <c r="E13" s="37">
        <f>IF(D13="X",100*0.1,"")</f>
        <v>10</v>
      </c>
      <c r="F13" s="37" t="str">
        <f t="shared" ref="F13:F53" si="2">IF($C13=L,"X","")</f>
        <v/>
      </c>
      <c r="G13" s="37" t="str">
        <f>IF(F13="X",60*0.1,"")</f>
        <v/>
      </c>
      <c r="H13" s="37" t="str">
        <f t="shared" ref="H13:H53" si="3">IF($C13=ML,"X","")</f>
        <v/>
      </c>
      <c r="I13" s="37" t="str">
        <f>IF(H13="X",30*0.1,"")</f>
        <v/>
      </c>
      <c r="J13" s="37" t="str">
        <f t="shared" ref="J13:J53" si="4">IF($C13=NL,"X","")</f>
        <v/>
      </c>
      <c r="K13" s="37" t="str">
        <f t="shared" ref="K13:K19" si="5">IF($J13="X",0,"")</f>
        <v/>
      </c>
    </row>
    <row r="14" ht="38.25" outlineLevel="1">
      <c r="A14" s="34"/>
      <c r="B14" s="35" t="str">
        <f>RUBRICA!A5</f>
        <v xml:space="preserve">2. Genera evidencias que dan cuenta del cumplimiento del Proyecto CAPSTONE, en relación a documentación, programación y almacenamiento de datos, de acuerdo a lo planificado por el equipo y que cumpla con estándares de desarrollo de la industria</v>
      </c>
      <c r="C14" s="36" t="s">
        <v>68</v>
      </c>
      <c r="D14" s="37" t="str">
        <f t="shared" si="1"/>
        <v/>
      </c>
      <c r="E14" s="37" t="str">
        <f>IF(D14="X",100*0.2,"")</f>
        <v/>
      </c>
      <c r="F14" s="37" t="str">
        <f t="shared" si="2"/>
        <v>X</v>
      </c>
      <c r="G14" s="37">
        <f>IF(F14="X",60*0.2,"")</f>
        <v>12</v>
      </c>
      <c r="H14" s="37" t="str">
        <f t="shared" si="3"/>
        <v/>
      </c>
      <c r="I14" s="37" t="str">
        <f>IF(H14="X",30*0.2,"")</f>
        <v/>
      </c>
      <c r="J14" s="37" t="str">
        <f t="shared" si="4"/>
        <v/>
      </c>
      <c r="K14" s="37" t="str">
        <f t="shared" si="5"/>
        <v/>
      </c>
    </row>
    <row r="15" ht="24" outlineLevel="1">
      <c r="A15" s="34"/>
      <c r="B15" s="35" t="str">
        <f>RUBRICA!A7</f>
        <v xml:space="preserve">4. Relaciona el Proyecto APT con las competencias del perfil de egreso de su Plan de Estudio.</v>
      </c>
      <c r="C15" s="36" t="s">
        <v>67</v>
      </c>
      <c r="D15" s="37" t="str">
        <f t="shared" si="1"/>
        <v>X</v>
      </c>
      <c r="E15" s="37">
        <f t="shared" ref="E15:E17" si="6">IF(D15="X",100*0.05,"")</f>
        <v>5</v>
      </c>
      <c r="F15" s="37" t="str">
        <f t="shared" si="2"/>
        <v/>
      </c>
      <c r="G15" s="37" t="str">
        <f t="shared" ref="G15:G17" si="7">IF(F15="X",60*0.05,"")</f>
        <v/>
      </c>
      <c r="H15" s="37" t="str">
        <f t="shared" si="3"/>
        <v/>
      </c>
      <c r="I15" s="37" t="str">
        <f t="shared" ref="I15:I17" si="8">IF(H15="X",30*0.05,"")</f>
        <v/>
      </c>
      <c r="J15" s="37" t="str">
        <f t="shared" si="4"/>
        <v/>
      </c>
      <c r="K15" s="37" t="str">
        <f t="shared" si="5"/>
        <v/>
      </c>
    </row>
    <row r="16" ht="25.5" outlineLevel="1">
      <c r="A16" s="34"/>
      <c r="B16" s="35" t="str">
        <f>RUBRICA!A8</f>
        <v xml:space="preserve">5. Utiliza de manera precisa el lenguaje técnico en los entregables de acuerdo con lo requerido por la disciplina.</v>
      </c>
      <c r="C16" s="36" t="s">
        <v>67</v>
      </c>
      <c r="D16" s="37" t="str">
        <f t="shared" si="1"/>
        <v>X</v>
      </c>
      <c r="E16" s="37">
        <f t="shared" si="6"/>
        <v>5</v>
      </c>
      <c r="F16" s="37" t="str">
        <f t="shared" si="2"/>
        <v/>
      </c>
      <c r="G16" s="37" t="str">
        <f t="shared" si="7"/>
        <v/>
      </c>
      <c r="H16" s="37" t="str">
        <f t="shared" si="3"/>
        <v/>
      </c>
      <c r="I16" s="37" t="str">
        <f t="shared" si="8"/>
        <v/>
      </c>
      <c r="J16" s="37" t="str">
        <f t="shared" si="4"/>
        <v/>
      </c>
      <c r="K16" s="37" t="str">
        <f t="shared" si="5"/>
        <v/>
      </c>
    </row>
    <row r="17" ht="25.5" outlineLevel="1">
      <c r="A17" s="34"/>
      <c r="B17" s="35" t="str">
        <f>RUBRICA!A9</f>
        <v xml:space="preserve">6. Utiliza correctamente las reglas de redacción, ortografía (literal, puntual, acentual) y las normas para citas y referencias. </v>
      </c>
      <c r="C17" s="36" t="s">
        <v>67</v>
      </c>
      <c r="D17" s="37" t="str">
        <f t="shared" si="1"/>
        <v>X</v>
      </c>
      <c r="E17" s="37">
        <f t="shared" si="6"/>
        <v>5</v>
      </c>
      <c r="F17" s="37" t="str">
        <f t="shared" si="2"/>
        <v/>
      </c>
      <c r="G17" s="37" t="str">
        <f t="shared" si="7"/>
        <v/>
      </c>
      <c r="H17" s="37" t="str">
        <f t="shared" si="3"/>
        <v/>
      </c>
      <c r="I17" s="37" t="str">
        <f t="shared" si="8"/>
        <v/>
      </c>
      <c r="J17" s="37" t="str">
        <f t="shared" si="4"/>
        <v/>
      </c>
      <c r="K17" s="37" t="str">
        <f t="shared" si="5"/>
        <v/>
      </c>
    </row>
    <row r="18" ht="25.5" outlineLevel="1">
      <c r="A18" s="34"/>
      <c r="B18" s="35" t="str">
        <f>RUBRICA!A10</f>
        <v xml:space="preserve">7. Entrega la documentación y evidencias requerida por la asignatura de acuerdo a la estrucutra y nombres solicitados, guardando todas las evidencias de avances en Git</v>
      </c>
      <c r="C18" s="36" t="s">
        <v>68</v>
      </c>
      <c r="D18" s="37" t="str">
        <f t="shared" si="1"/>
        <v/>
      </c>
      <c r="E18" s="37" t="str">
        <f t="shared" ref="E18:E19" si="9">IF(D18="X",100*0.15,"")</f>
        <v/>
      </c>
      <c r="F18" s="37" t="str">
        <f t="shared" si="2"/>
        <v>X</v>
      </c>
      <c r="G18" s="37">
        <f t="shared" ref="G18:G19" si="10">IF(F18="X",60*0.15,"")</f>
        <v>9</v>
      </c>
      <c r="H18" s="37" t="str">
        <f t="shared" si="3"/>
        <v/>
      </c>
      <c r="I18" s="37" t="str">
        <f t="shared" ref="I18:I19" si="11">IF(H18="X",30*0.15,"")</f>
        <v/>
      </c>
      <c r="J18" s="37" t="str">
        <f t="shared" si="4"/>
        <v/>
      </c>
      <c r="K18" s="37" t="str">
        <f t="shared" si="5"/>
        <v/>
      </c>
    </row>
    <row r="19" ht="22.899999999999999" customHeight="1" outlineLevel="1">
      <c r="A19" s="34"/>
      <c r="B19" s="35" t="str">
        <f>RUBRICA!A12</f>
        <v xml:space="preserve">9.-Generan evidencias claras dentro del repositorio  del aporte de cada uno de los integrantes del equipo que permitan identificar la equidad en el trabajo y la participación de cada estudiante.</v>
      </c>
      <c r="C19" s="36" t="s">
        <v>68</v>
      </c>
      <c r="D19" s="37" t="str">
        <f t="shared" si="1"/>
        <v/>
      </c>
      <c r="E19" s="37" t="str">
        <f t="shared" si="9"/>
        <v/>
      </c>
      <c r="F19" s="37" t="str">
        <f t="shared" si="2"/>
        <v>X</v>
      </c>
      <c r="G19" s="37">
        <f t="shared" si="10"/>
        <v>9</v>
      </c>
      <c r="H19" s="37" t="str">
        <f t="shared" si="3"/>
        <v/>
      </c>
      <c r="I19" s="37" t="str">
        <f t="shared" si="11"/>
        <v/>
      </c>
      <c r="J19" s="37" t="str">
        <f t="shared" si="4"/>
        <v/>
      </c>
      <c r="K19" s="37" t="str">
        <f t="shared" si="5"/>
        <v/>
      </c>
    </row>
    <row r="20" ht="15.75" customHeight="1" outlineLevel="1">
      <c r="A20" s="33"/>
      <c r="B20" s="38" t="s">
        <v>70</v>
      </c>
      <c r="C20" s="39">
        <f>E20+G20+I20+K20</f>
        <v>55</v>
      </c>
      <c r="D20" s="40"/>
      <c r="E20" s="40">
        <f>SUM(E13:E19)</f>
        <v>25</v>
      </c>
      <c r="F20" s="40"/>
      <c r="G20" s="40">
        <f>SUM(G13:G19)</f>
        <v>30</v>
      </c>
      <c r="H20" s="40"/>
      <c r="I20" s="40">
        <f>SUM(I13:I19)</f>
        <v>0</v>
      </c>
      <c r="J20" s="40"/>
      <c r="K20" s="40">
        <f>SUM(K13:K19)</f>
        <v>0</v>
      </c>
    </row>
    <row r="21" ht="15.75" customHeight="1" outlineLevel="1">
      <c r="A21" s="21"/>
      <c r="B21" s="41" t="s">
        <v>71</v>
      </c>
      <c r="C21" s="42">
        <f>VLOOKUP(C20,ESCALA_IEP!A1:B152,2,FALSE)</f>
        <v>5</v>
      </c>
    </row>
    <row r="22" ht="15.75" customHeight="1"/>
    <row r="23" ht="15.75" customHeight="1"/>
    <row r="24" ht="15.75" customHeight="1">
      <c r="A24" s="43" t="s">
        <v>59</v>
      </c>
      <c r="B24" s="44" t="str">
        <f>B4</f>
        <v xml:space="preserve">JUAN JOSE QUIROGA</v>
      </c>
      <c r="C24" s="45" t="str">
        <f>$B$4</f>
        <v xml:space="preserve">JUAN JOSE QUIROGA</v>
      </c>
      <c r="D24" s="46"/>
      <c r="E24" s="46"/>
      <c r="F24" s="46"/>
      <c r="G24" s="46"/>
      <c r="H24" s="46"/>
      <c r="I24" s="46"/>
      <c r="J24" s="46"/>
      <c r="K24" s="47"/>
    </row>
    <row r="25" ht="15.75" customHeight="1">
      <c r="A25" s="33"/>
      <c r="B25" s="21"/>
      <c r="C25" s="48"/>
      <c r="D25" s="49"/>
      <c r="E25" s="49"/>
      <c r="F25" s="49"/>
      <c r="G25" s="49"/>
      <c r="H25" s="49"/>
      <c r="I25" s="49"/>
      <c r="J25" s="49"/>
      <c r="K25" s="50"/>
    </row>
    <row r="26" ht="15.75" customHeight="1">
      <c r="A26" s="33"/>
      <c r="B26" s="28" t="s">
        <v>72</v>
      </c>
      <c r="C26" s="29" t="s">
        <v>64</v>
      </c>
      <c r="D26" s="30" t="s">
        <v>65</v>
      </c>
      <c r="E26" s="31"/>
      <c r="F26" s="31"/>
      <c r="G26" s="31"/>
      <c r="H26" s="31"/>
      <c r="I26" s="31"/>
      <c r="J26" s="31"/>
      <c r="K26" s="32"/>
    </row>
    <row r="27" ht="15.75" customHeight="1">
      <c r="A27" s="33"/>
      <c r="B27" s="51" t="s">
        <v>66</v>
      </c>
      <c r="C27" s="21"/>
      <c r="D27" s="30" t="s">
        <v>67</v>
      </c>
      <c r="E27" s="32"/>
      <c r="F27" s="30" t="s">
        <v>68</v>
      </c>
      <c r="G27" s="32"/>
      <c r="H27" s="30" t="s">
        <v>69</v>
      </c>
      <c r="I27" s="32"/>
      <c r="J27" s="30" t="s">
        <v>6</v>
      </c>
      <c r="K27" s="32"/>
    </row>
    <row r="28" ht="24">
      <c r="A28" s="33"/>
      <c r="B28" s="35" t="str">
        <f>RUBRICA!A6</f>
        <v xml:space="preserve">3. Relaciona el Proyecto APT con sus intereses profesionales. *</v>
      </c>
      <c r="C28" s="36" t="s">
        <v>67</v>
      </c>
      <c r="D28" s="37" t="str">
        <f t="shared" si="1"/>
        <v>X</v>
      </c>
      <c r="E28" s="37">
        <f>IF(D28="X",100*0.05,"")</f>
        <v>5</v>
      </c>
      <c r="F28" s="37" t="str">
        <f t="shared" si="2"/>
        <v/>
      </c>
      <c r="G28" s="37" t="str">
        <f>IF(F28="X",60*0.05,"")</f>
        <v/>
      </c>
      <c r="H28" s="37" t="str">
        <f t="shared" si="3"/>
        <v/>
      </c>
      <c r="I28" s="37" t="str">
        <f>IF(H28="X",30*0.05,"")</f>
        <v/>
      </c>
      <c r="J28" s="37" t="str">
        <f t="shared" si="4"/>
        <v/>
      </c>
      <c r="K28" s="37" t="str">
        <f t="shared" ref="K28:K30" si="12">IF($J28="X",0,"")</f>
        <v/>
      </c>
    </row>
    <row r="29" ht="24.600000000000001" customHeight="1">
      <c r="A29" s="33"/>
      <c r="B29" s="35" t="str">
        <f>RUBRICA!A11</f>
        <v xml:space="preserve">8. Expone el tema utilizando un lenguaje técnico disciplinar al presentar la propuesta y responde evidenciando un manejo de la información. *</v>
      </c>
      <c r="C29" s="36" t="s">
        <v>67</v>
      </c>
      <c r="D29" s="37" t="str">
        <f t="shared" si="1"/>
        <v>X</v>
      </c>
      <c r="E29" s="37">
        <f t="shared" ref="E29:E30" si="13">IF(D29="X",100*0.1,"")</f>
        <v>10</v>
      </c>
      <c r="F29" s="37" t="str">
        <f t="shared" si="2"/>
        <v/>
      </c>
      <c r="G29" s="37" t="str">
        <f t="shared" ref="G29:G30" si="14">IF(F29="X",60*0.1,"")</f>
        <v/>
      </c>
      <c r="H29" s="37" t="str">
        <f t="shared" si="3"/>
        <v/>
      </c>
      <c r="I29" s="37" t="str">
        <f t="shared" ref="I29:I30" si="15">IF(H29="X",30*0.1,"")</f>
        <v/>
      </c>
      <c r="J29" s="37" t="str">
        <f t="shared" si="4"/>
        <v/>
      </c>
      <c r="K29" s="37" t="str">
        <f t="shared" si="12"/>
        <v/>
      </c>
    </row>
    <row r="30" ht="25.899999999999999" customHeight="1">
      <c r="A30" s="33"/>
      <c r="B30" s="35" t="str">
        <f>RUBRICA!A13</f>
        <v xml:space="preserve">10. Colaboración y trabajo en equipo *</v>
      </c>
      <c r="C30" s="36" t="s">
        <v>67</v>
      </c>
      <c r="D30" s="37" t="str">
        <f t="shared" si="1"/>
        <v>X</v>
      </c>
      <c r="E30" s="37">
        <f t="shared" si="13"/>
        <v>10</v>
      </c>
      <c r="F30" s="37" t="str">
        <f t="shared" si="2"/>
        <v/>
      </c>
      <c r="G30" s="37" t="str">
        <f t="shared" si="14"/>
        <v/>
      </c>
      <c r="H30" s="37" t="str">
        <f t="shared" si="3"/>
        <v/>
      </c>
      <c r="I30" s="37" t="str">
        <f t="shared" si="15"/>
        <v/>
      </c>
      <c r="J30" s="37" t="str">
        <f t="shared" si="4"/>
        <v/>
      </c>
      <c r="K30" s="37" t="str">
        <f t="shared" si="12"/>
        <v/>
      </c>
    </row>
    <row r="31" ht="15.75" customHeight="1">
      <c r="A31" s="33"/>
      <c r="B31" s="52" t="s">
        <v>73</v>
      </c>
      <c r="C31" s="53">
        <f>E31+G31+I31+K31</f>
        <v>25</v>
      </c>
      <c r="D31" s="40"/>
      <c r="E31" s="40">
        <f>SUM(E28:E30)</f>
        <v>25</v>
      </c>
      <c r="F31" s="40"/>
      <c r="G31" s="40">
        <f>SUM(G28:G30)</f>
        <v>0</v>
      </c>
      <c r="H31" s="40"/>
      <c r="I31" s="40">
        <f>SUM(I28:I30)</f>
        <v>0</v>
      </c>
      <c r="J31" s="40"/>
      <c r="K31" s="40">
        <f>SUM(K29:K30)</f>
        <v>0</v>
      </c>
    </row>
    <row r="32" ht="15.75" customHeight="1">
      <c r="A32" s="21"/>
      <c r="B32" s="54" t="s">
        <v>71</v>
      </c>
      <c r="C32" s="42">
        <f>VLOOKUP(C31,ESCALA_TRAB_EQUIP!A1:B52,2,FALSE)</f>
        <v>7</v>
      </c>
    </row>
    <row r="33" ht="15.75" customHeight="1">
      <c r="B33" s="55"/>
      <c r="C33" s="56"/>
    </row>
    <row r="34" ht="15.75" customHeight="1">
      <c r="B34" s="55"/>
      <c r="C34" s="56"/>
    </row>
    <row r="35" ht="15.75" customHeight="1"/>
    <row r="36" ht="15.75" customHeight="1">
      <c r="A36" s="43" t="s">
        <v>59</v>
      </c>
      <c r="B36" s="44" t="str">
        <f>B5</f>
        <v xml:space="preserve">SERGIO RODRIGUEZ</v>
      </c>
      <c r="C36" s="45" t="str">
        <f>B5</f>
        <v xml:space="preserve">SERGIO RODRIGUEZ</v>
      </c>
      <c r="D36" s="46"/>
      <c r="E36" s="46"/>
      <c r="F36" s="46"/>
      <c r="G36" s="46"/>
      <c r="H36" s="46"/>
      <c r="I36" s="46"/>
      <c r="J36" s="46"/>
      <c r="K36" s="47"/>
    </row>
    <row r="37" ht="15.75" customHeight="1">
      <c r="A37" s="33"/>
      <c r="B37" s="21"/>
      <c r="C37" s="48"/>
      <c r="D37" s="49"/>
      <c r="E37" s="49"/>
      <c r="F37" s="49"/>
      <c r="G37" s="49"/>
      <c r="H37" s="49"/>
      <c r="I37" s="49"/>
      <c r="J37" s="49"/>
      <c r="K37" s="50"/>
    </row>
    <row r="38" ht="15.75" customHeight="1">
      <c r="A38" s="33"/>
      <c r="B38" s="28" t="s">
        <v>72</v>
      </c>
      <c r="C38" s="29" t="s">
        <v>64</v>
      </c>
      <c r="D38" s="30" t="s">
        <v>65</v>
      </c>
      <c r="E38" s="31"/>
      <c r="F38" s="31"/>
      <c r="G38" s="31"/>
      <c r="H38" s="31"/>
      <c r="I38" s="31"/>
      <c r="J38" s="31"/>
      <c r="K38" s="32"/>
    </row>
    <row r="39" ht="15.75" customHeight="1">
      <c r="A39" s="33"/>
      <c r="B39" s="51" t="s">
        <v>66</v>
      </c>
      <c r="C39" s="21"/>
      <c r="D39" s="30" t="s">
        <v>67</v>
      </c>
      <c r="E39" s="32"/>
      <c r="F39" s="30" t="s">
        <v>68</v>
      </c>
      <c r="G39" s="32"/>
      <c r="H39" s="30" t="s">
        <v>69</v>
      </c>
      <c r="I39" s="32"/>
      <c r="J39" s="30" t="s">
        <v>6</v>
      </c>
      <c r="K39" s="32"/>
    </row>
    <row r="40" ht="15.75" customHeight="1">
      <c r="A40" s="33"/>
      <c r="B40" s="35" t="str">
        <f>RUBRICA!A6</f>
        <v xml:space="preserve">3. Relaciona el Proyecto APT con sus intereses profesionales. *</v>
      </c>
      <c r="C40" s="36" t="s">
        <v>67</v>
      </c>
      <c r="D40" s="37" t="str">
        <f t="shared" si="1"/>
        <v>X</v>
      </c>
      <c r="E40" s="37">
        <f>IF(D40="X",100*0.05,"")</f>
        <v>5</v>
      </c>
      <c r="F40" s="37" t="str">
        <f t="shared" si="2"/>
        <v/>
      </c>
      <c r="G40" s="37" t="str">
        <f>IF(F40="X",60*0.05,"")</f>
        <v/>
      </c>
      <c r="H40" s="37" t="str">
        <f t="shared" si="3"/>
        <v/>
      </c>
      <c r="I40" s="37" t="str">
        <f>IF(H40="X",30*0.05,"")</f>
        <v/>
      </c>
      <c r="J40" s="37" t="str">
        <f t="shared" si="4"/>
        <v/>
      </c>
      <c r="K40" s="37" t="str">
        <f t="shared" ref="K40:K42" si="16">IF($J40="X",0,"")</f>
        <v/>
      </c>
    </row>
    <row r="41" ht="25.899999999999999" customHeight="1">
      <c r="A41" s="33"/>
      <c r="B41" s="35" t="str">
        <f>RUBRICA!A11</f>
        <v xml:space="preserve">8. Expone el tema utilizando un lenguaje técnico disciplinar al presentar la propuesta y responde evidenciando un manejo de la información. *</v>
      </c>
      <c r="C41" s="36" t="s">
        <v>67</v>
      </c>
      <c r="D41" s="37" t="str">
        <f t="shared" si="1"/>
        <v>X</v>
      </c>
      <c r="E41" s="37">
        <f t="shared" ref="E41:E42" si="17">IF(D41="X",100*0.1,"")</f>
        <v>10</v>
      </c>
      <c r="F41" s="37" t="str">
        <f t="shared" si="2"/>
        <v/>
      </c>
      <c r="G41" s="37" t="str">
        <f t="shared" ref="G41:G42" si="18">IF(F41="X",60*0.1,"")</f>
        <v/>
      </c>
      <c r="H41" s="37" t="str">
        <f t="shared" si="3"/>
        <v/>
      </c>
      <c r="I41" s="37" t="str">
        <f t="shared" ref="I41:I42" si="19">IF(H41="X",30*0.1,"")</f>
        <v/>
      </c>
      <c r="J41" s="37" t="str">
        <f t="shared" si="4"/>
        <v/>
      </c>
      <c r="K41" s="37" t="str">
        <f t="shared" si="16"/>
        <v/>
      </c>
    </row>
    <row r="42" ht="14.449999999999999">
      <c r="A42" s="33"/>
      <c r="B42" s="35" t="str">
        <f>RUBRICA!A13</f>
        <v xml:space="preserve">10. Colaboración y trabajo en equipo *</v>
      </c>
      <c r="C42" s="36" t="s">
        <v>67</v>
      </c>
      <c r="D42" s="37" t="str">
        <f t="shared" si="1"/>
        <v>X</v>
      </c>
      <c r="E42" s="37">
        <f t="shared" si="17"/>
        <v>10</v>
      </c>
      <c r="F42" s="37" t="str">
        <f t="shared" si="2"/>
        <v/>
      </c>
      <c r="G42" s="37" t="str">
        <f t="shared" si="18"/>
        <v/>
      </c>
      <c r="H42" s="37" t="str">
        <f t="shared" si="3"/>
        <v/>
      </c>
      <c r="I42" s="37" t="str">
        <f t="shared" si="19"/>
        <v/>
      </c>
      <c r="J42" s="37" t="str">
        <f t="shared" si="4"/>
        <v/>
      </c>
      <c r="K42" s="37" t="str">
        <f t="shared" si="16"/>
        <v/>
      </c>
    </row>
    <row r="43" ht="15.75" customHeight="1">
      <c r="A43" s="33"/>
      <c r="B43" s="52" t="s">
        <v>73</v>
      </c>
      <c r="C43" s="53">
        <f>E43+G43+I43+K43</f>
        <v>25</v>
      </c>
      <c r="D43" s="40"/>
      <c r="E43" s="40">
        <f>SUM(E40:E42)</f>
        <v>25</v>
      </c>
      <c r="F43" s="40"/>
      <c r="G43" s="40">
        <f>SUM(G40:G42)</f>
        <v>0</v>
      </c>
      <c r="H43" s="40"/>
      <c r="I43" s="40">
        <f>SUM(I40:I42)</f>
        <v>0</v>
      </c>
      <c r="J43" s="40"/>
      <c r="K43" s="40">
        <f>SUM(K41:K42)</f>
        <v>0</v>
      </c>
    </row>
    <row r="44" ht="15.75" customHeight="1">
      <c r="A44" s="21"/>
      <c r="B44" s="54" t="s">
        <v>71</v>
      </c>
      <c r="C44" s="42">
        <f>VLOOKUP(C43,ESCALA_TRAB_EQUIP!A1:B52,2,FALSE)</f>
        <v>7</v>
      </c>
    </row>
    <row r="45" ht="15.75" customHeight="1">
      <c r="B45" s="55"/>
      <c r="C45" s="56"/>
    </row>
    <row r="46" ht="15.75" customHeight="1">
      <c r="B46" s="55"/>
      <c r="C46" s="56"/>
    </row>
    <row r="47" ht="15.75" customHeight="1">
      <c r="A47" s="43" t="s">
        <v>59</v>
      </c>
      <c r="B47" s="44" t="str">
        <f>B6</f>
        <v xml:space="preserve">JUSTIN RIQUELME</v>
      </c>
      <c r="C47" s="45" t="str">
        <f>B6</f>
        <v xml:space="preserve">JUSTIN RIQUELME</v>
      </c>
      <c r="D47" s="46"/>
      <c r="E47" s="46"/>
      <c r="F47" s="46"/>
      <c r="G47" s="46"/>
      <c r="H47" s="46"/>
      <c r="I47" s="46"/>
      <c r="J47" s="46"/>
      <c r="K47" s="47"/>
    </row>
    <row r="48" ht="15.75" customHeight="1">
      <c r="A48" s="33"/>
      <c r="B48" s="21"/>
      <c r="C48" s="48"/>
      <c r="D48" s="49"/>
      <c r="E48" s="49"/>
      <c r="F48" s="49"/>
      <c r="G48" s="49"/>
      <c r="H48" s="49"/>
      <c r="I48" s="49"/>
      <c r="J48" s="49"/>
      <c r="K48" s="50"/>
    </row>
    <row r="49" ht="15.75" customHeight="1">
      <c r="A49" s="33"/>
      <c r="B49" s="28" t="s">
        <v>72</v>
      </c>
      <c r="C49" s="29" t="s">
        <v>64</v>
      </c>
      <c r="D49" s="30" t="s">
        <v>65</v>
      </c>
      <c r="E49" s="31"/>
      <c r="F49" s="31"/>
      <c r="G49" s="31"/>
      <c r="H49" s="31"/>
      <c r="I49" s="31"/>
      <c r="J49" s="31"/>
      <c r="K49" s="32"/>
    </row>
    <row r="50" ht="15.75" customHeight="1">
      <c r="A50" s="33"/>
      <c r="B50" s="51" t="s">
        <v>66</v>
      </c>
      <c r="C50" s="21"/>
      <c r="D50" s="30" t="s">
        <v>67</v>
      </c>
      <c r="E50" s="32"/>
      <c r="F50" s="30" t="s">
        <v>68</v>
      </c>
      <c r="G50" s="32"/>
      <c r="H50" s="30" t="s">
        <v>69</v>
      </c>
      <c r="I50" s="32"/>
      <c r="J50" s="30" t="s">
        <v>6</v>
      </c>
      <c r="K50" s="32"/>
    </row>
    <row r="51" ht="15.75" customHeight="1">
      <c r="A51" s="33"/>
      <c r="B51" s="35" t="str">
        <f>RUBRICA!A6</f>
        <v xml:space="preserve">3. Relaciona el Proyecto APT con sus intereses profesionales. *</v>
      </c>
      <c r="C51" s="36" t="s">
        <v>67</v>
      </c>
      <c r="D51" s="37" t="str">
        <f t="shared" si="1"/>
        <v>X</v>
      </c>
      <c r="E51" s="37">
        <f>IF(D51="X",100*0.05,"")</f>
        <v>5</v>
      </c>
      <c r="F51" s="37" t="str">
        <f t="shared" si="2"/>
        <v/>
      </c>
      <c r="G51" s="37" t="str">
        <f>IF(F51="X",60*0.05,"")</f>
        <v/>
      </c>
      <c r="H51" s="37" t="str">
        <f t="shared" si="3"/>
        <v/>
      </c>
      <c r="I51" s="37" t="str">
        <f>IF(H51="X",30*0.05,"")</f>
        <v/>
      </c>
      <c r="J51" s="37" t="str">
        <f t="shared" si="4"/>
        <v/>
      </c>
      <c r="K51" s="37" t="str">
        <f t="shared" ref="K51:K53" si="20">IF($J51="X",0,"")</f>
        <v/>
      </c>
    </row>
    <row r="52" ht="25.899999999999999" customHeight="1">
      <c r="A52" s="33"/>
      <c r="B52" s="35" t="str">
        <f>RUBRICA!A11</f>
        <v xml:space="preserve">8. Expone el tema utilizando un lenguaje técnico disciplinar al presentar la propuesta y responde evidenciando un manejo de la información. *</v>
      </c>
      <c r="C52" s="36" t="s">
        <v>68</v>
      </c>
      <c r="D52" s="37" t="str">
        <f t="shared" si="1"/>
        <v/>
      </c>
      <c r="E52" s="37" t="str">
        <f t="shared" ref="E52:E53" si="21">IF(D52="X",100*0.1,"")</f>
        <v/>
      </c>
      <c r="F52" s="37" t="str">
        <f t="shared" si="2"/>
        <v>X</v>
      </c>
      <c r="G52" s="37">
        <f t="shared" ref="G52:G53" si="22">IF(F52="X",60*0.1,"")</f>
        <v>6</v>
      </c>
      <c r="H52" s="37" t="str">
        <f t="shared" si="3"/>
        <v/>
      </c>
      <c r="I52" s="37" t="str">
        <f t="shared" ref="I52:I53" si="23">IF(H52="X",30*0.1,"")</f>
        <v/>
      </c>
      <c r="J52" s="37" t="str">
        <f t="shared" si="4"/>
        <v/>
      </c>
      <c r="K52" s="37" t="str">
        <f t="shared" si="20"/>
        <v/>
      </c>
    </row>
    <row r="53" ht="14.449999999999999">
      <c r="A53" s="33"/>
      <c r="B53" s="35" t="str">
        <f>RUBRICA!A13</f>
        <v xml:space="preserve">10. Colaboración y trabajo en equipo *</v>
      </c>
      <c r="C53" s="36" t="s">
        <v>67</v>
      </c>
      <c r="D53" s="37" t="str">
        <f t="shared" si="1"/>
        <v>X</v>
      </c>
      <c r="E53" s="37">
        <f t="shared" si="21"/>
        <v>10</v>
      </c>
      <c r="F53" s="37" t="str">
        <f t="shared" si="2"/>
        <v/>
      </c>
      <c r="G53" s="37" t="str">
        <f t="shared" si="22"/>
        <v/>
      </c>
      <c r="H53" s="37" t="str">
        <f t="shared" si="3"/>
        <v/>
      </c>
      <c r="I53" s="37" t="str">
        <f t="shared" si="23"/>
        <v/>
      </c>
      <c r="J53" s="37" t="str">
        <f t="shared" si="4"/>
        <v/>
      </c>
      <c r="K53" s="37" t="str">
        <f t="shared" si="20"/>
        <v/>
      </c>
    </row>
    <row r="54" ht="15.75" customHeight="1">
      <c r="A54" s="33"/>
      <c r="B54" s="52" t="s">
        <v>73</v>
      </c>
      <c r="C54" s="53">
        <f>E54+G54+I54+K54</f>
        <v>21</v>
      </c>
      <c r="D54" s="40"/>
      <c r="E54" s="40">
        <f>SUM(E51:E53)</f>
        <v>15</v>
      </c>
      <c r="F54" s="40"/>
      <c r="G54" s="40">
        <f>SUM(G51:G53)</f>
        <v>6</v>
      </c>
      <c r="H54" s="40"/>
      <c r="I54" s="40">
        <f>SUM(I51:I53)</f>
        <v>0</v>
      </c>
      <c r="J54" s="40"/>
      <c r="K54" s="40">
        <f>SUM(K52:K53)</f>
        <v>0</v>
      </c>
    </row>
    <row r="55" ht="15.75" customHeight="1">
      <c r="A55" s="21"/>
      <c r="B55" s="54" t="s">
        <v>71</v>
      </c>
      <c r="C55" s="42">
        <f>VLOOKUP(C54,ESCALA_TRAB_EQUIP!A1:B52,2,FALSE)</f>
        <v>5.7999999999999998</v>
      </c>
    </row>
    <row r="56" ht="15.75" customHeight="1">
      <c r="B56" s="55"/>
      <c r="C56" s="56"/>
    </row>
    <row r="57" ht="15.75" customHeight="1"/>
    <row r="58" ht="15.75" customHeight="1">
      <c r="B58" s="44" t="str">
        <f>B7</f>
        <v xml:space="preserve">JUAN AGUIRRE</v>
      </c>
      <c r="C58" s="45" t="str">
        <f>B17</f>
        <v xml:space="preserve">6. Utiliza correctamente las reglas de redacción, ortografía (literal, puntual, acentual) y las normas para citas y referencias. </v>
      </c>
      <c r="D58" s="57"/>
      <c r="E58" s="57"/>
      <c r="F58" s="57"/>
      <c r="G58" s="57"/>
      <c r="H58" s="57"/>
      <c r="I58" s="57"/>
      <c r="J58" s="57"/>
      <c r="K58" s="58"/>
    </row>
    <row r="59" ht="15.75" customHeight="1">
      <c r="B59" s="59"/>
      <c r="C59" s="60"/>
      <c r="D59" s="61"/>
      <c r="E59" s="61"/>
      <c r="F59" s="61"/>
      <c r="G59" s="61"/>
      <c r="H59" s="61"/>
      <c r="I59" s="61"/>
      <c r="J59" s="61"/>
      <c r="K59" s="62"/>
    </row>
    <row r="60" ht="15.75" customHeight="1">
      <c r="B60" s="28" t="s">
        <v>72</v>
      </c>
      <c r="C60" s="29" t="s">
        <v>64</v>
      </c>
      <c r="D60" s="30" t="s">
        <v>65</v>
      </c>
      <c r="E60" s="63"/>
      <c r="F60" s="63"/>
      <c r="G60" s="63"/>
      <c r="H60" s="63"/>
      <c r="I60" s="63"/>
      <c r="J60" s="63"/>
      <c r="K60" s="64"/>
    </row>
    <row r="61" ht="15.75" customHeight="1">
      <c r="B61" s="51" t="s">
        <v>66</v>
      </c>
      <c r="C61" s="59"/>
      <c r="D61" s="30" t="s">
        <v>67</v>
      </c>
      <c r="E61" s="64"/>
      <c r="F61" s="30" t="s">
        <v>68</v>
      </c>
      <c r="G61" s="64"/>
      <c r="H61" s="30" t="s">
        <v>69</v>
      </c>
      <c r="I61" s="64"/>
      <c r="J61" s="30" t="s">
        <v>6</v>
      </c>
      <c r="K61" s="64"/>
    </row>
    <row r="62" ht="15.75" customHeight="1">
      <c r="B62" s="35">
        <f>RUBRICA!A17</f>
        <v>0</v>
      </c>
      <c r="C62" s="65" t="s">
        <v>67</v>
      </c>
      <c r="D62" s="37" t="str">
        <f>IF($C62=CL,"X","")</f>
        <v>X</v>
      </c>
      <c r="E62" s="37">
        <f>IF(D62="X",100*0.05,"")</f>
        <v>5</v>
      </c>
      <c r="F62" s="37" t="str">
        <f>IF($C62=L,"X","")</f>
        <v/>
      </c>
      <c r="G62" s="37" t="str">
        <f>IF(F62="X",60*0.05,"")</f>
        <v/>
      </c>
      <c r="H62" s="37" t="str">
        <f>IF($C62=ML,"X","")</f>
        <v/>
      </c>
      <c r="I62" s="37" t="str">
        <f>IF(H62="X",30*0.05,"")</f>
        <v/>
      </c>
      <c r="J62" s="37" t="str">
        <f>IF($C62=NL,"X","")</f>
        <v/>
      </c>
      <c r="K62" s="37" t="str">
        <f>IF($J62="X",0,"")</f>
        <v/>
      </c>
    </row>
    <row r="63" ht="15.75" customHeight="1">
      <c r="B63" s="35">
        <f>RUBRICA!A22</f>
        <v>0</v>
      </c>
      <c r="C63" s="65" t="s">
        <v>68</v>
      </c>
      <c r="D63" s="37" t="str">
        <f>IF($C63=CL,"X","")</f>
        <v/>
      </c>
      <c r="E63" s="37" t="str">
        <f>IF(D63="X",100*0.1,"")</f>
        <v/>
      </c>
      <c r="F63" s="37" t="str">
        <f>IF($C63=L,"X","")</f>
        <v>X</v>
      </c>
      <c r="G63" s="37">
        <f>IF(F63="X",60*0.1,"")</f>
        <v>6</v>
      </c>
      <c r="H63" s="37" t="str">
        <f>IF($C63=ML,"X","")</f>
        <v/>
      </c>
      <c r="I63" s="37" t="str">
        <f>IF(H63="X",30*0.1,"")</f>
        <v/>
      </c>
      <c r="J63" s="37" t="str">
        <f>IF($C63=NL,"X","")</f>
        <v/>
      </c>
      <c r="K63" s="37" t="str">
        <f>IF($J63="X",0,"")</f>
        <v/>
      </c>
    </row>
    <row r="64" ht="15.75" customHeight="1">
      <c r="B64" s="35">
        <f>RUBRICA!A24</f>
        <v>0</v>
      </c>
      <c r="C64" s="65" t="s">
        <v>67</v>
      </c>
      <c r="D64" s="37" t="str">
        <f>IF($C64=CL,"X","")</f>
        <v>X</v>
      </c>
      <c r="E64" s="37">
        <f>IF(D64="X",100*0.1,"")</f>
        <v>10</v>
      </c>
      <c r="F64" s="37" t="str">
        <f>IF($C64=L,"X","")</f>
        <v/>
      </c>
      <c r="G64" s="37" t="str">
        <f>IF(F64="X",60*0.1,"")</f>
        <v/>
      </c>
      <c r="H64" s="37" t="str">
        <f>IF($C64=ML,"X","")</f>
        <v/>
      </c>
      <c r="I64" s="37" t="str">
        <f>IF(H64="X",30*0.1,"")</f>
        <v/>
      </c>
      <c r="J64" s="37" t="str">
        <f>IF($C64=NL,"X","")</f>
        <v/>
      </c>
      <c r="K64" s="37" t="str">
        <f>IF($J64="X",0,"")</f>
        <v/>
      </c>
    </row>
    <row r="65" ht="15.75" customHeight="1">
      <c r="B65" s="52" t="s">
        <v>73</v>
      </c>
      <c r="C65" s="53">
        <f>E65+G65+I65+K65</f>
        <v>21</v>
      </c>
      <c r="D65" s="40"/>
      <c r="E65" s="40">
        <f>SUM(E62:E64)</f>
        <v>15</v>
      </c>
      <c r="F65" s="40"/>
      <c r="G65" s="40">
        <f>SUM(G62:G64)</f>
        <v>6</v>
      </c>
      <c r="H65" s="40"/>
      <c r="I65" s="40">
        <f>SUM(I62:I64)</f>
        <v>0</v>
      </c>
      <c r="J65" s="40"/>
      <c r="K65" s="40">
        <f>SUM(K63:K64)</f>
        <v>0</v>
      </c>
    </row>
    <row r="66" ht="15.75" customHeight="1">
      <c r="B66" s="54" t="s">
        <v>71</v>
      </c>
      <c r="C66" s="42">
        <f>VLOOKUP(C65,ESCALA_TRAB_EQUIP!A12:B63,2,FALSE)</f>
        <v>5.7999999999999998</v>
      </c>
      <c r="D66" s="66"/>
      <c r="E66" s="66"/>
      <c r="F66" s="66"/>
      <c r="G66" s="66"/>
      <c r="H66" s="66"/>
      <c r="I66" s="66"/>
      <c r="J66" s="66"/>
      <c r="K66" s="66"/>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43">
    <mergeCell ref="E2:E3"/>
    <mergeCell ref="A11:A21"/>
    <mergeCell ref="C11:C12"/>
    <mergeCell ref="D11:K11"/>
    <mergeCell ref="D12:E12"/>
    <mergeCell ref="F12:G12"/>
    <mergeCell ref="H12:I12"/>
    <mergeCell ref="J12:K12"/>
    <mergeCell ref="A24:A32"/>
    <mergeCell ref="B24:B25"/>
    <mergeCell ref="C24:K25"/>
    <mergeCell ref="C26:C27"/>
    <mergeCell ref="D26:K26"/>
    <mergeCell ref="D27:E27"/>
    <mergeCell ref="F27:G27"/>
    <mergeCell ref="H27:I27"/>
    <mergeCell ref="J27:K27"/>
    <mergeCell ref="A36:A44"/>
    <mergeCell ref="B36:B37"/>
    <mergeCell ref="C36:K37"/>
    <mergeCell ref="C38:C39"/>
    <mergeCell ref="D38:K38"/>
    <mergeCell ref="D39:E39"/>
    <mergeCell ref="F39:G39"/>
    <mergeCell ref="H39:I39"/>
    <mergeCell ref="J39:K39"/>
    <mergeCell ref="A47:A55"/>
    <mergeCell ref="B47:B48"/>
    <mergeCell ref="C47:K48"/>
    <mergeCell ref="C49:C50"/>
    <mergeCell ref="D49:K49"/>
    <mergeCell ref="D50:E50"/>
    <mergeCell ref="F50:G50"/>
    <mergeCell ref="H50:I50"/>
    <mergeCell ref="J50:K50"/>
    <mergeCell ref="B58:B59"/>
    <mergeCell ref="C58:K59"/>
    <mergeCell ref="C60:C61"/>
    <mergeCell ref="D60:K60"/>
    <mergeCell ref="D61:E61"/>
    <mergeCell ref="F61:G61"/>
    <mergeCell ref="H61:I61"/>
    <mergeCell ref="J61:K61"/>
  </mergeCells>
  <dataValidations count="2" disablePrompts="0">
    <dataValidation sqref="C40:C42 C13:C19 C28:C30 C51:C53" type="list" allowBlank="1" errorStyle="stop" imeMode="noControl" operator="between" showDropDown="0" showErrorMessage="1" showInputMessage="0">
      <formula1>'RELEVANCIA-PUNTAJE'!$B$2:$E$2</formula1>
    </dataValidation>
    <dataValidation sqref="C62:C64" type="list" allowBlank="1" errorStyle="stop" imeMode="noControl" operator="between" showDropDown="0" showErrorMessage="1" showInputMessage="0">
      <formula1>'RELEVANCIA-PUNTAJE'!$B$2:$E$2</formula1>
    </dataValidation>
  </dataValidation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lessThan" id="{006C0033-008F-428C-B066-00BD001D0089}">
            <xm:f>4</xm:f>
            <x14:dxf>
              <font>
                <color rgb="FF9C0006"/>
              </font>
              <fill>
                <patternFill patternType="none"/>
              </fill>
            </x14:dxf>
          </x14:cfRule>
          <xm:sqref>C4:E6</xm:sqref>
        </x14:conditionalFormatting>
        <x14:conditionalFormatting xmlns:xm="http://schemas.microsoft.com/office/excel/2006/main">
          <x14:cfRule type="cellIs" priority="2" operator="lessThan" id="{00C3003F-0076-4B75-9BAF-0047006A0080}">
            <xm:f>1</xm:f>
            <x14:dxf>
              <font>
                <color rgb="FF9C0006"/>
              </font>
              <fill>
                <patternFill patternType="none"/>
              </fill>
            </x14:dxf>
          </x14:cfRule>
          <xm:sqref>C4:E6</xm:sqref>
        </x14:conditionalFormatting>
        <x14:conditionalFormatting xmlns:xm="http://schemas.microsoft.com/office/excel/2006/main">
          <x14:cfRule type="cellIs" priority="1" operator="lessThan" id="{00A20096-000D-4292-9A0D-00E40010008C}">
            <xm:f>4</xm:f>
            <x14:dxf>
              <font>
                <color rgb="FF9C0006"/>
              </font>
              <fill>
                <patternFill patternType="none"/>
              </fill>
            </x14:dxf>
          </x14:cfRule>
          <xm:sqref>C7:E7</xm:sqref>
        </x14:conditionalFormatting>
        <x14:conditionalFormatting xmlns:xm="http://schemas.microsoft.com/office/excel/2006/main">
          <x14:cfRule type="cellIs" priority="2" operator="lessThan" id="{00360095-00A3-4FAC-8169-00D0003400DA}">
            <xm:f>1</xm:f>
            <x14:dxf>
              <font>
                <color rgb="FF9C0006"/>
              </font>
              <fill>
                <patternFill patternType="none"/>
              </fill>
            </x14:dxf>
          </x14:cfRule>
          <xm:sqref>C7:E7</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6200BA-006D-4DE1-B687-003A005200C1}" type="decimal" allowBlank="1" errorStyle="stop" imeMode="noControl" operator="between" prompt="Error de Ingreso - Nota debe estar entre 1,0 y 7,0" showDropDown="0" showErrorMessage="1" showInputMessage="1">
          <x14:formula1>
            <xm:f>1</xm:f>
          </x14:formula1>
          <x14:formula2>
            <xm:f>7</xm:f>
          </x14:formula2>
          <xm:sqref>C4:E6</xm:sqref>
        </x14:dataValidation>
        <x14:dataValidation xr:uid="{00040011-0020-4A78-9495-00E1000100D8}" type="decimal" allowBlank="1" errorStyle="stop" imeMode="noControl" operator="between" prompt="Error de Ingreso - Nota debe estar entre 1,0 y 7,0" showDropDown="0" showErrorMessage="1" showInputMessage="1">
          <x14:formula1>
            <xm:f>1</xm:f>
          </x14:formula1>
          <x14:formula2>
            <xm:f>7</xm:f>
          </x14:formula2>
          <xm:sqref>C7:E7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46" zoomScale="100" workbookViewId="0">
      <selection activeCell="A153" activeCellId="0" sqref="A153:B162"/>
    </sheetView>
  </sheetViews>
  <sheetFormatPr defaultColWidth="14.42578125" defaultRowHeight="15" customHeight="1"/>
  <cols>
    <col customWidth="1" min="1" max="26" width="10.7109375"/>
  </cols>
  <sheetData>
    <row r="1" ht="14.449999999999999">
      <c r="A1" t="s">
        <v>70</v>
      </c>
      <c r="B1" t="s">
        <v>71</v>
      </c>
    </row>
    <row r="2" ht="14.449999999999999">
      <c r="A2">
        <v>0</v>
      </c>
      <c r="B2">
        <v>1</v>
      </c>
    </row>
    <row r="3" ht="14.449999999999999">
      <c r="A3">
        <v>0.5</v>
      </c>
      <c r="B3">
        <v>1</v>
      </c>
    </row>
    <row r="4" ht="14.449999999999999">
      <c r="A4">
        <v>1</v>
      </c>
      <c r="B4">
        <v>1.1000000000000001</v>
      </c>
    </row>
    <row r="5" ht="14.449999999999999">
      <c r="A5">
        <v>1.5</v>
      </c>
      <c r="B5">
        <v>1.1000000000000001</v>
      </c>
    </row>
    <row r="6" ht="14.449999999999999">
      <c r="A6">
        <v>2</v>
      </c>
      <c r="B6">
        <v>1.1000000000000001</v>
      </c>
    </row>
    <row r="7" ht="14.449999999999999">
      <c r="A7">
        <v>2.5</v>
      </c>
      <c r="B7">
        <v>1.2</v>
      </c>
    </row>
    <row r="8" ht="14.449999999999999">
      <c r="A8">
        <v>3</v>
      </c>
      <c r="B8">
        <v>1.2</v>
      </c>
    </row>
    <row r="9" ht="14.449999999999999">
      <c r="A9">
        <v>3.5</v>
      </c>
      <c r="B9">
        <v>1.2</v>
      </c>
    </row>
    <row r="10" ht="14.449999999999999">
      <c r="A10">
        <v>4</v>
      </c>
      <c r="B10">
        <v>1.3</v>
      </c>
    </row>
    <row r="11" ht="14.449999999999999">
      <c r="A11">
        <v>4.5</v>
      </c>
      <c r="B11">
        <v>1.3</v>
      </c>
    </row>
    <row r="12" ht="14.449999999999999">
      <c r="A12">
        <v>5</v>
      </c>
      <c r="B12">
        <v>1.3</v>
      </c>
    </row>
    <row r="13" ht="14.449999999999999">
      <c r="A13">
        <v>5.5</v>
      </c>
      <c r="B13">
        <v>1.3999999999999999</v>
      </c>
    </row>
    <row r="14" ht="14.449999999999999">
      <c r="A14">
        <v>6</v>
      </c>
      <c r="B14">
        <v>1.3999999999999999</v>
      </c>
    </row>
    <row r="15" ht="14.449999999999999">
      <c r="A15">
        <v>6.5</v>
      </c>
      <c r="B15">
        <v>1.3999999999999999</v>
      </c>
    </row>
    <row r="16" ht="14.449999999999999">
      <c r="A16">
        <v>7</v>
      </c>
      <c r="B16">
        <v>1.5</v>
      </c>
    </row>
    <row r="17" ht="14.449999999999999">
      <c r="A17">
        <v>7.5</v>
      </c>
      <c r="B17">
        <v>1.5</v>
      </c>
    </row>
    <row r="18" ht="14.449999999999999">
      <c r="A18">
        <v>8</v>
      </c>
      <c r="B18">
        <v>1.5</v>
      </c>
    </row>
    <row r="19" ht="14.449999999999999">
      <c r="A19">
        <v>8.5</v>
      </c>
      <c r="B19">
        <v>1.6000000000000001</v>
      </c>
    </row>
    <row r="20" ht="14.449999999999999">
      <c r="A20">
        <v>9</v>
      </c>
      <c r="B20">
        <v>1.6000000000000001</v>
      </c>
    </row>
    <row r="21" ht="15.75" customHeight="1">
      <c r="A21">
        <v>9.5</v>
      </c>
      <c r="B21">
        <v>1.6000000000000001</v>
      </c>
    </row>
    <row r="22" ht="15.75" customHeight="1">
      <c r="A22">
        <v>10</v>
      </c>
      <c r="B22">
        <v>1.7</v>
      </c>
    </row>
    <row r="23" ht="15.75" customHeight="1">
      <c r="A23">
        <v>10.5</v>
      </c>
      <c r="B23">
        <v>1.7</v>
      </c>
    </row>
    <row r="24" ht="15.75" customHeight="1">
      <c r="A24">
        <v>11</v>
      </c>
      <c r="B24">
        <v>1.7</v>
      </c>
    </row>
    <row r="25" ht="15.75" customHeight="1">
      <c r="A25">
        <v>11.5</v>
      </c>
      <c r="B25">
        <v>1.8</v>
      </c>
    </row>
    <row r="26" ht="15.75" customHeight="1">
      <c r="A26">
        <v>12</v>
      </c>
      <c r="B26">
        <v>1.8</v>
      </c>
    </row>
    <row r="27" ht="15.75" customHeight="1">
      <c r="A27">
        <v>12.5</v>
      </c>
      <c r="B27">
        <v>1.8</v>
      </c>
    </row>
    <row r="28" ht="15.75" customHeight="1">
      <c r="A28">
        <v>13</v>
      </c>
      <c r="B28">
        <v>1.8999999999999999</v>
      </c>
    </row>
    <row r="29" ht="15.75" customHeight="1">
      <c r="A29">
        <v>13.5</v>
      </c>
      <c r="B29">
        <v>1.8999999999999999</v>
      </c>
    </row>
    <row r="30" ht="15.75" customHeight="1">
      <c r="A30">
        <v>14</v>
      </c>
      <c r="B30">
        <v>1.8999999999999999</v>
      </c>
    </row>
    <row r="31" ht="15.75" customHeight="1">
      <c r="A31">
        <v>14.5</v>
      </c>
      <c r="B31">
        <v>2</v>
      </c>
    </row>
    <row r="32" ht="15.75" customHeight="1">
      <c r="A32">
        <v>15</v>
      </c>
      <c r="B32">
        <v>2</v>
      </c>
    </row>
    <row r="33" ht="15.75" customHeight="1">
      <c r="A33">
        <v>15.5</v>
      </c>
      <c r="B33">
        <v>2</v>
      </c>
    </row>
    <row r="34" ht="15.75" customHeight="1">
      <c r="A34">
        <v>16</v>
      </c>
      <c r="B34">
        <v>2.1000000000000001</v>
      </c>
    </row>
    <row r="35" ht="15.75" customHeight="1">
      <c r="A35">
        <v>16.5</v>
      </c>
      <c r="B35">
        <v>2.1000000000000001</v>
      </c>
    </row>
    <row r="36" ht="15.75" customHeight="1">
      <c r="A36">
        <v>17</v>
      </c>
      <c r="B36">
        <v>2.1000000000000001</v>
      </c>
    </row>
    <row r="37" ht="15.75" customHeight="1">
      <c r="A37">
        <v>17.5</v>
      </c>
      <c r="B37">
        <v>2.2000000000000002</v>
      </c>
    </row>
    <row r="38" ht="15.75" customHeight="1">
      <c r="A38">
        <v>18</v>
      </c>
      <c r="B38">
        <v>2.2000000000000002</v>
      </c>
    </row>
    <row r="39" ht="15.75" customHeight="1">
      <c r="A39">
        <v>18.5</v>
      </c>
      <c r="B39">
        <v>2.2000000000000002</v>
      </c>
    </row>
    <row r="40" ht="15.75" customHeight="1">
      <c r="A40">
        <v>19</v>
      </c>
      <c r="B40">
        <v>2.2999999999999998</v>
      </c>
    </row>
    <row r="41" ht="15.75" customHeight="1">
      <c r="A41">
        <v>19.5</v>
      </c>
      <c r="B41">
        <v>2.2999999999999998</v>
      </c>
    </row>
    <row r="42" ht="15.75" customHeight="1">
      <c r="A42">
        <v>20</v>
      </c>
      <c r="B42">
        <v>2.2999999999999998</v>
      </c>
    </row>
    <row r="43" ht="15.75" customHeight="1">
      <c r="A43">
        <v>20.5</v>
      </c>
      <c r="B43">
        <v>2.3999999999999999</v>
      </c>
    </row>
    <row r="44" ht="15.75" customHeight="1">
      <c r="A44">
        <v>21</v>
      </c>
      <c r="B44">
        <v>2.3999999999999999</v>
      </c>
    </row>
    <row r="45" ht="15.75" customHeight="1">
      <c r="A45">
        <v>21.5</v>
      </c>
      <c r="B45">
        <v>2.3999999999999999</v>
      </c>
    </row>
    <row r="46" ht="15.75" customHeight="1">
      <c r="A46">
        <v>22</v>
      </c>
      <c r="B46">
        <v>2.5</v>
      </c>
    </row>
    <row r="47" ht="15.75" customHeight="1">
      <c r="A47">
        <v>22.5</v>
      </c>
      <c r="B47">
        <v>2.5</v>
      </c>
    </row>
    <row r="48" ht="15.75" customHeight="1">
      <c r="A48">
        <v>23</v>
      </c>
      <c r="B48">
        <v>2.5</v>
      </c>
    </row>
    <row r="49" ht="15.75" customHeight="1">
      <c r="A49">
        <v>23.5</v>
      </c>
      <c r="B49">
        <v>2.6000000000000001</v>
      </c>
    </row>
    <row r="50" ht="15.75" customHeight="1">
      <c r="A50">
        <v>24</v>
      </c>
      <c r="B50">
        <v>2.6000000000000001</v>
      </c>
    </row>
    <row r="51" ht="15.75" customHeight="1">
      <c r="A51">
        <v>24.5</v>
      </c>
      <c r="B51">
        <v>2.6000000000000001</v>
      </c>
    </row>
    <row r="52" ht="15.75" customHeight="1">
      <c r="A52">
        <v>25</v>
      </c>
      <c r="B52">
        <v>2.7000000000000002</v>
      </c>
    </row>
    <row r="53" ht="15.75" customHeight="1">
      <c r="A53">
        <v>25.5</v>
      </c>
      <c r="B53">
        <v>2.7000000000000002</v>
      </c>
    </row>
    <row r="54" ht="15.75" customHeight="1">
      <c r="A54">
        <v>26</v>
      </c>
      <c r="B54">
        <v>2.7000000000000002</v>
      </c>
    </row>
    <row r="55" ht="15.75" customHeight="1">
      <c r="A55">
        <v>26.5</v>
      </c>
      <c r="B55">
        <v>2.7999999999999998</v>
      </c>
    </row>
    <row r="56" ht="15.75" customHeight="1">
      <c r="A56">
        <v>27</v>
      </c>
      <c r="B56">
        <v>2.7999999999999998</v>
      </c>
    </row>
    <row r="57" ht="15.75" customHeight="1">
      <c r="A57">
        <v>27.5</v>
      </c>
      <c r="B57">
        <v>2.7999999999999998</v>
      </c>
    </row>
    <row r="58" ht="15.75" customHeight="1">
      <c r="A58">
        <v>28</v>
      </c>
      <c r="B58">
        <v>2.8999999999999999</v>
      </c>
    </row>
    <row r="59" ht="15.75" customHeight="1">
      <c r="A59">
        <v>28.5</v>
      </c>
      <c r="B59">
        <v>2.8999999999999999</v>
      </c>
    </row>
    <row r="60" ht="15.75" customHeight="1">
      <c r="A60">
        <v>29</v>
      </c>
      <c r="B60">
        <v>2.8999999999999999</v>
      </c>
    </row>
    <row r="61" ht="15.75" customHeight="1">
      <c r="A61">
        <v>29.5</v>
      </c>
      <c r="B61">
        <v>3</v>
      </c>
    </row>
    <row r="62" ht="15.75" customHeight="1">
      <c r="A62">
        <v>30</v>
      </c>
      <c r="B62">
        <v>3</v>
      </c>
    </row>
    <row r="63" ht="15.75" customHeight="1">
      <c r="A63">
        <v>30.5</v>
      </c>
      <c r="B63">
        <v>3</v>
      </c>
    </row>
    <row r="64" ht="15.75" customHeight="1">
      <c r="A64">
        <v>31</v>
      </c>
      <c r="B64">
        <v>3.1000000000000001</v>
      </c>
    </row>
    <row r="65" ht="15.75" customHeight="1">
      <c r="A65">
        <v>31.5</v>
      </c>
      <c r="B65">
        <v>3.1000000000000001</v>
      </c>
    </row>
    <row r="66" ht="15.75" customHeight="1">
      <c r="A66">
        <v>32</v>
      </c>
      <c r="B66">
        <v>3.1000000000000001</v>
      </c>
    </row>
    <row r="67" ht="15.75" customHeight="1">
      <c r="A67">
        <v>32.5</v>
      </c>
      <c r="B67">
        <v>3.2000000000000002</v>
      </c>
    </row>
    <row r="68" ht="15.75" customHeight="1">
      <c r="A68">
        <v>33</v>
      </c>
      <c r="B68">
        <v>3.2000000000000002</v>
      </c>
    </row>
    <row r="69" ht="15.75" customHeight="1">
      <c r="A69">
        <v>33.5</v>
      </c>
      <c r="B69">
        <v>3.2000000000000002</v>
      </c>
    </row>
    <row r="70" ht="15.75" customHeight="1">
      <c r="A70">
        <v>34</v>
      </c>
      <c r="B70">
        <v>3.2999999999999998</v>
      </c>
    </row>
    <row r="71" ht="15.75" customHeight="1">
      <c r="A71">
        <v>34.5</v>
      </c>
      <c r="B71">
        <v>3.2999999999999998</v>
      </c>
    </row>
    <row r="72" ht="15.75" customHeight="1">
      <c r="A72">
        <v>35</v>
      </c>
      <c r="B72">
        <v>3.2999999999999998</v>
      </c>
    </row>
    <row r="73" ht="15.75" customHeight="1">
      <c r="A73">
        <v>35.5</v>
      </c>
      <c r="B73">
        <v>3.3999999999999999</v>
      </c>
    </row>
    <row r="74" ht="15.75" customHeight="1">
      <c r="A74">
        <v>36</v>
      </c>
      <c r="B74">
        <v>3.3999999999999999</v>
      </c>
    </row>
    <row r="75" ht="15.75" customHeight="1">
      <c r="A75">
        <v>36.5</v>
      </c>
      <c r="B75">
        <v>3.3999999999999999</v>
      </c>
    </row>
    <row r="76" ht="15.75" customHeight="1">
      <c r="A76">
        <v>37</v>
      </c>
      <c r="B76">
        <v>3.5</v>
      </c>
    </row>
    <row r="77" ht="15.75" customHeight="1">
      <c r="A77">
        <v>37.5</v>
      </c>
      <c r="B77">
        <v>3.5</v>
      </c>
    </row>
    <row r="78" ht="15.75" customHeight="1">
      <c r="A78">
        <v>38</v>
      </c>
      <c r="B78">
        <v>3.5</v>
      </c>
    </row>
    <row r="79" ht="15.75" customHeight="1">
      <c r="A79">
        <v>38.5</v>
      </c>
      <c r="B79">
        <v>3.6000000000000001</v>
      </c>
    </row>
    <row r="80" ht="15.75" customHeight="1">
      <c r="A80">
        <v>39</v>
      </c>
      <c r="B80">
        <v>3.6000000000000001</v>
      </c>
    </row>
    <row r="81" ht="15.75" customHeight="1">
      <c r="A81">
        <v>39.5</v>
      </c>
      <c r="B81">
        <v>3.6000000000000001</v>
      </c>
    </row>
    <row r="82" ht="15.75" customHeight="1">
      <c r="A82">
        <v>40</v>
      </c>
      <c r="B82">
        <v>3.7000000000000002</v>
      </c>
    </row>
    <row r="83" ht="15.75" customHeight="1">
      <c r="A83">
        <v>40.5</v>
      </c>
      <c r="B83">
        <v>3.7000000000000002</v>
      </c>
    </row>
    <row r="84" ht="15.75" customHeight="1">
      <c r="A84">
        <v>41</v>
      </c>
      <c r="B84">
        <v>3.7000000000000002</v>
      </c>
    </row>
    <row r="85" ht="15.75" customHeight="1">
      <c r="A85">
        <v>41.5</v>
      </c>
      <c r="B85">
        <v>3.7999999999999998</v>
      </c>
    </row>
    <row r="86" ht="15.75" customHeight="1">
      <c r="A86">
        <v>42</v>
      </c>
      <c r="B86">
        <v>3.7999999999999998</v>
      </c>
    </row>
    <row r="87" ht="15.75" customHeight="1">
      <c r="A87">
        <v>42.5</v>
      </c>
      <c r="B87">
        <v>3.7999999999999998</v>
      </c>
    </row>
    <row r="88" ht="15.75" customHeight="1">
      <c r="A88">
        <v>43</v>
      </c>
      <c r="B88">
        <v>3.8999999999999999</v>
      </c>
    </row>
    <row r="89" ht="15.75" customHeight="1">
      <c r="A89">
        <v>43.5</v>
      </c>
      <c r="B89">
        <v>3.8999999999999999</v>
      </c>
    </row>
    <row r="90" ht="15.75" customHeight="1">
      <c r="A90">
        <v>44</v>
      </c>
      <c r="B90">
        <v>3.8999999999999999</v>
      </c>
    </row>
    <row r="91" ht="15.75" customHeight="1">
      <c r="A91">
        <v>44.5</v>
      </c>
      <c r="B91">
        <v>4</v>
      </c>
    </row>
    <row r="92" ht="15.75" customHeight="1">
      <c r="A92">
        <v>45</v>
      </c>
      <c r="B92">
        <v>4</v>
      </c>
    </row>
    <row r="93" ht="15.75" customHeight="1">
      <c r="A93">
        <v>45.5</v>
      </c>
      <c r="B93">
        <v>4.0999999999999996</v>
      </c>
    </row>
    <row r="94" ht="15.75" customHeight="1">
      <c r="A94">
        <v>46</v>
      </c>
      <c r="B94">
        <v>4.0999999999999996</v>
      </c>
    </row>
    <row r="95" ht="15.75" customHeight="1">
      <c r="A95">
        <v>46.5</v>
      </c>
      <c r="B95">
        <v>4.2000000000000002</v>
      </c>
    </row>
    <row r="96" ht="15.75" customHeight="1">
      <c r="A96">
        <v>47</v>
      </c>
      <c r="B96">
        <v>4.2000000000000002</v>
      </c>
    </row>
    <row r="97" ht="15.75" customHeight="1">
      <c r="A97">
        <v>47.5</v>
      </c>
      <c r="B97">
        <v>4.2999999999999998</v>
      </c>
    </row>
    <row r="98" ht="15.75" customHeight="1">
      <c r="A98">
        <v>48</v>
      </c>
      <c r="B98">
        <v>4.2999999999999998</v>
      </c>
    </row>
    <row r="99" ht="15.75" customHeight="1">
      <c r="A99">
        <v>48.5</v>
      </c>
      <c r="B99">
        <v>4.4000000000000004</v>
      </c>
    </row>
    <row r="100" ht="15.75" customHeight="1">
      <c r="A100">
        <v>49</v>
      </c>
      <c r="B100">
        <v>4.4000000000000004</v>
      </c>
    </row>
    <row r="101" ht="15.75" customHeight="1">
      <c r="A101">
        <v>49.5</v>
      </c>
      <c r="B101">
        <v>4.5</v>
      </c>
    </row>
    <row r="102" ht="15.75" customHeight="1">
      <c r="A102">
        <v>50</v>
      </c>
      <c r="B102">
        <v>4.5</v>
      </c>
    </row>
    <row r="103" ht="15.75" customHeight="1">
      <c r="A103">
        <v>50.5</v>
      </c>
      <c r="B103">
        <v>4.5999999999999996</v>
      </c>
    </row>
    <row r="104" ht="15.75" customHeight="1">
      <c r="A104">
        <v>51</v>
      </c>
      <c r="B104">
        <v>4.5999999999999996</v>
      </c>
    </row>
    <row r="105" ht="15.75" customHeight="1">
      <c r="A105">
        <v>51.5</v>
      </c>
      <c r="B105">
        <v>4.7000000000000002</v>
      </c>
    </row>
    <row r="106" ht="15.75" customHeight="1">
      <c r="A106">
        <v>52</v>
      </c>
      <c r="B106">
        <v>4.7000000000000002</v>
      </c>
    </row>
    <row r="107" ht="15.75" customHeight="1">
      <c r="A107">
        <v>52.5</v>
      </c>
      <c r="B107">
        <v>4.7999999999999998</v>
      </c>
    </row>
    <row r="108" ht="15.75" customHeight="1">
      <c r="A108">
        <v>53</v>
      </c>
      <c r="B108">
        <v>4.7999999999999998</v>
      </c>
    </row>
    <row r="109" ht="15.75" customHeight="1">
      <c r="A109">
        <v>53.5</v>
      </c>
      <c r="B109">
        <v>4.9000000000000004</v>
      </c>
    </row>
    <row r="110" ht="15.75" customHeight="1">
      <c r="A110">
        <v>54</v>
      </c>
      <c r="B110">
        <v>4.9000000000000004</v>
      </c>
    </row>
    <row r="111" ht="15.75" customHeight="1">
      <c r="A111">
        <v>54.5</v>
      </c>
      <c r="B111">
        <v>5</v>
      </c>
    </row>
    <row r="112" ht="15.75" customHeight="1">
      <c r="A112">
        <v>55</v>
      </c>
      <c r="B112">
        <v>5</v>
      </c>
    </row>
    <row r="113" ht="15.75" customHeight="1">
      <c r="A113">
        <v>55.5</v>
      </c>
      <c r="B113">
        <v>5.0999999999999996</v>
      </c>
    </row>
    <row r="114" ht="15.75" customHeight="1">
      <c r="A114">
        <v>56</v>
      </c>
      <c r="B114">
        <v>5.0999999999999996</v>
      </c>
    </row>
    <row r="115" ht="15.75" customHeight="1">
      <c r="A115">
        <v>56.5</v>
      </c>
      <c r="B115">
        <v>5.2000000000000002</v>
      </c>
    </row>
    <row r="116" ht="15.75" customHeight="1">
      <c r="A116">
        <v>57</v>
      </c>
      <c r="B116">
        <v>5.2000000000000002</v>
      </c>
    </row>
    <row r="117" ht="15.75" customHeight="1">
      <c r="A117">
        <v>57.5</v>
      </c>
      <c r="B117">
        <v>5.2999999999999998</v>
      </c>
    </row>
    <row r="118" ht="15.75" customHeight="1">
      <c r="A118">
        <v>58</v>
      </c>
      <c r="B118">
        <v>5.2999999999999998</v>
      </c>
    </row>
    <row r="119" ht="15.75" customHeight="1">
      <c r="A119">
        <v>58.5</v>
      </c>
      <c r="B119">
        <v>5.4000000000000004</v>
      </c>
    </row>
    <row r="120" ht="15.75" customHeight="1">
      <c r="A120">
        <v>59</v>
      </c>
      <c r="B120">
        <v>5.4000000000000004</v>
      </c>
    </row>
    <row r="121" ht="15.75" customHeight="1">
      <c r="A121">
        <v>59.5</v>
      </c>
      <c r="B121">
        <v>5.5</v>
      </c>
    </row>
    <row r="122" ht="15.75" customHeight="1">
      <c r="A122">
        <v>60</v>
      </c>
      <c r="B122">
        <v>5.5</v>
      </c>
    </row>
    <row r="123" ht="15.75" customHeight="1">
      <c r="A123">
        <v>60.5</v>
      </c>
      <c r="B123">
        <v>5.5999999999999996</v>
      </c>
    </row>
    <row r="124" ht="15.75" customHeight="1">
      <c r="A124">
        <v>61</v>
      </c>
      <c r="B124">
        <v>5.5999999999999996</v>
      </c>
    </row>
    <row r="125" ht="15.75" customHeight="1">
      <c r="A125">
        <v>61.5</v>
      </c>
      <c r="B125">
        <v>5.7000000000000002</v>
      </c>
    </row>
    <row r="126" ht="15.75" customHeight="1">
      <c r="A126">
        <v>62</v>
      </c>
      <c r="B126">
        <v>5.7000000000000002</v>
      </c>
    </row>
    <row r="127" ht="15.75" customHeight="1">
      <c r="A127">
        <v>62.5</v>
      </c>
      <c r="B127">
        <v>5.7999999999999998</v>
      </c>
    </row>
    <row r="128" ht="15.75" customHeight="1">
      <c r="A128">
        <v>63</v>
      </c>
      <c r="B128">
        <v>5.7999999999999998</v>
      </c>
    </row>
    <row r="129" ht="15.75" customHeight="1">
      <c r="A129">
        <v>63.5</v>
      </c>
      <c r="B129">
        <v>5.9000000000000004</v>
      </c>
    </row>
    <row r="130" ht="15.75" customHeight="1">
      <c r="A130">
        <v>64</v>
      </c>
      <c r="B130">
        <v>5.9000000000000004</v>
      </c>
    </row>
    <row r="131" ht="15.75" customHeight="1">
      <c r="A131">
        <v>64.5</v>
      </c>
      <c r="B131">
        <v>6</v>
      </c>
    </row>
    <row r="132" ht="15.75" customHeight="1">
      <c r="A132">
        <v>65</v>
      </c>
      <c r="B132">
        <v>6</v>
      </c>
    </row>
    <row r="133" ht="15.75" customHeight="1">
      <c r="A133">
        <v>65.5</v>
      </c>
      <c r="B133">
        <v>6.0999999999999996</v>
      </c>
    </row>
    <row r="134" ht="15.75" customHeight="1">
      <c r="A134">
        <v>66</v>
      </c>
      <c r="B134">
        <v>6.0999999999999996</v>
      </c>
    </row>
    <row r="135" ht="15.75" customHeight="1">
      <c r="A135">
        <v>66.5</v>
      </c>
      <c r="B135">
        <v>6.2000000000000002</v>
      </c>
    </row>
    <row r="136" ht="15.75" customHeight="1">
      <c r="A136">
        <v>67</v>
      </c>
      <c r="B136">
        <v>6.2000000000000002</v>
      </c>
    </row>
    <row r="137" ht="15.75" customHeight="1">
      <c r="A137">
        <v>67.5</v>
      </c>
      <c r="B137">
        <v>6.2999999999999998</v>
      </c>
    </row>
    <row r="138" ht="15.75" customHeight="1">
      <c r="A138">
        <v>68</v>
      </c>
      <c r="B138">
        <v>6.2999999999999998</v>
      </c>
    </row>
    <row r="139" ht="15.75" customHeight="1">
      <c r="A139">
        <v>68.5</v>
      </c>
      <c r="B139">
        <v>6.4000000000000004</v>
      </c>
    </row>
    <row r="140" ht="15.75" customHeight="1">
      <c r="A140">
        <v>69</v>
      </c>
      <c r="B140">
        <v>6.4000000000000004</v>
      </c>
    </row>
    <row r="141" ht="15.75" customHeight="1">
      <c r="A141">
        <v>69.5</v>
      </c>
      <c r="B141">
        <v>6.5</v>
      </c>
    </row>
    <row r="142" ht="15.75" customHeight="1">
      <c r="A142">
        <v>70</v>
      </c>
      <c r="B142">
        <v>6.5</v>
      </c>
    </row>
    <row r="143" ht="15.75" customHeight="1">
      <c r="A143">
        <v>70.5</v>
      </c>
      <c r="B143">
        <v>6.5999999999999996</v>
      </c>
    </row>
    <row r="144" ht="15.75" customHeight="1">
      <c r="A144">
        <v>71</v>
      </c>
      <c r="B144">
        <v>6.5999999999999996</v>
      </c>
    </row>
    <row r="145" ht="15.75" customHeight="1">
      <c r="A145">
        <v>71.5</v>
      </c>
      <c r="B145">
        <v>6.7000000000000002</v>
      </c>
    </row>
    <row r="146" ht="15.75" customHeight="1">
      <c r="A146">
        <v>72</v>
      </c>
      <c r="B146">
        <v>6.7000000000000002</v>
      </c>
    </row>
    <row r="147" ht="15.75" customHeight="1">
      <c r="A147">
        <v>72.5</v>
      </c>
      <c r="B147">
        <v>6.7999999999999998</v>
      </c>
    </row>
    <row r="148" ht="15.75" customHeight="1">
      <c r="A148">
        <v>73</v>
      </c>
      <c r="B148">
        <v>6.7999999999999998</v>
      </c>
    </row>
    <row r="149" ht="15.75" customHeight="1">
      <c r="A149">
        <v>73.5</v>
      </c>
      <c r="B149">
        <v>6.9000000000000004</v>
      </c>
    </row>
    <row r="150" ht="15.75" customHeight="1">
      <c r="A150">
        <v>74</v>
      </c>
      <c r="B150">
        <v>6.9000000000000004</v>
      </c>
    </row>
    <row r="151" ht="15.75" customHeight="1">
      <c r="A151">
        <v>74.5</v>
      </c>
      <c r="B151">
        <v>7</v>
      </c>
    </row>
    <row r="152" ht="15.75" customHeight="1">
      <c r="A152">
        <v>75</v>
      </c>
      <c r="B152">
        <v>7</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14.42578125" defaultRowHeight="15" customHeight="1"/>
  <cols>
    <col customWidth="1" min="1" max="26" width="10.7109375"/>
  </cols>
  <sheetData>
    <row r="1" ht="14.449999999999999">
      <c r="A1" t="s">
        <v>74</v>
      </c>
      <c r="B1" t="s">
        <v>75</v>
      </c>
    </row>
    <row r="2" ht="14.449999999999999">
      <c r="A2">
        <v>0</v>
      </c>
      <c r="B2" s="26">
        <v>1</v>
      </c>
    </row>
    <row r="3" ht="14.449999999999999">
      <c r="A3">
        <v>1</v>
      </c>
      <c r="B3" s="26">
        <v>1.1000000000000001</v>
      </c>
    </row>
    <row r="4" ht="14.449999999999999">
      <c r="A4">
        <v>2</v>
      </c>
      <c r="B4" s="26">
        <v>1.2</v>
      </c>
    </row>
    <row r="5" ht="14.449999999999999">
      <c r="A5">
        <v>3</v>
      </c>
      <c r="B5" s="26">
        <v>1.3</v>
      </c>
    </row>
    <row r="6" ht="14.449999999999999">
      <c r="A6">
        <v>4</v>
      </c>
      <c r="B6" s="26">
        <v>1.3999999999999999</v>
      </c>
    </row>
    <row r="7" ht="14.449999999999999">
      <c r="A7">
        <v>5</v>
      </c>
      <c r="B7" s="26">
        <v>1.5</v>
      </c>
    </row>
    <row r="8" ht="14.449999999999999">
      <c r="A8">
        <v>6</v>
      </c>
      <c r="B8" s="26">
        <v>1.6000000000000001</v>
      </c>
    </row>
    <row r="9" ht="14.449999999999999">
      <c r="A9">
        <v>7</v>
      </c>
      <c r="B9" s="26">
        <v>1.7</v>
      </c>
    </row>
    <row r="10" ht="14.449999999999999">
      <c r="A10">
        <v>8</v>
      </c>
      <c r="B10" s="26">
        <v>1.8</v>
      </c>
    </row>
    <row r="11" ht="14.449999999999999">
      <c r="A11">
        <v>9</v>
      </c>
      <c r="B11" s="26">
        <v>1.8999999999999999</v>
      </c>
    </row>
    <row r="12" ht="14.449999999999999">
      <c r="A12">
        <v>10</v>
      </c>
      <c r="B12" s="26">
        <v>2</v>
      </c>
    </row>
    <row r="13" ht="14.449999999999999">
      <c r="A13">
        <v>11</v>
      </c>
      <c r="B13" s="26">
        <v>2.1000000000000001</v>
      </c>
    </row>
    <row r="14" ht="14.449999999999999">
      <c r="A14">
        <v>12</v>
      </c>
      <c r="B14" s="26">
        <v>2.2000000000000002</v>
      </c>
    </row>
    <row r="15" ht="14.449999999999999">
      <c r="A15">
        <v>13</v>
      </c>
      <c r="B15" s="26">
        <v>2.2999999999999998</v>
      </c>
    </row>
    <row r="16" ht="14.449999999999999">
      <c r="A16">
        <v>14</v>
      </c>
      <c r="B16" s="26">
        <v>2.2999999999999998</v>
      </c>
    </row>
    <row r="17" ht="14.449999999999999">
      <c r="A17">
        <v>15</v>
      </c>
      <c r="B17" s="26">
        <v>2.3999999999999999</v>
      </c>
    </row>
    <row r="18" ht="14.449999999999999">
      <c r="A18">
        <v>16</v>
      </c>
      <c r="B18" s="26">
        <v>2.5</v>
      </c>
    </row>
    <row r="19" ht="14.449999999999999">
      <c r="A19">
        <v>17</v>
      </c>
      <c r="B19" s="26">
        <v>2.6000000000000001</v>
      </c>
    </row>
    <row r="20" ht="14.449999999999999">
      <c r="A20">
        <v>18</v>
      </c>
      <c r="B20" s="26">
        <v>2.7000000000000002</v>
      </c>
    </row>
    <row r="21" ht="15.75" customHeight="1">
      <c r="A21">
        <v>19</v>
      </c>
      <c r="B21" s="26">
        <v>2.7999999999999998</v>
      </c>
    </row>
    <row r="22" ht="15.75" customHeight="1">
      <c r="A22">
        <v>20</v>
      </c>
      <c r="B22" s="26">
        <v>2.8999999999999999</v>
      </c>
    </row>
    <row r="23" ht="15.75" customHeight="1">
      <c r="A23">
        <v>21</v>
      </c>
      <c r="B23" s="26">
        <v>3</v>
      </c>
    </row>
    <row r="24" ht="15.75" customHeight="1">
      <c r="A24">
        <v>22</v>
      </c>
      <c r="B24" s="26">
        <v>3.1000000000000001</v>
      </c>
    </row>
    <row r="25" ht="15.75" customHeight="1">
      <c r="A25">
        <v>23</v>
      </c>
      <c r="B25" s="26">
        <v>3.2000000000000002</v>
      </c>
    </row>
    <row r="26" ht="15.75" customHeight="1">
      <c r="A26">
        <v>24</v>
      </c>
      <c r="B26" s="26">
        <v>3.2999999999999998</v>
      </c>
    </row>
    <row r="27" ht="15.75" customHeight="1">
      <c r="A27">
        <v>25</v>
      </c>
      <c r="B27" s="26">
        <v>3.3999999999999999</v>
      </c>
    </row>
    <row r="28" ht="15.75" customHeight="1">
      <c r="A28">
        <v>26</v>
      </c>
      <c r="B28" s="26">
        <v>3.5</v>
      </c>
    </row>
    <row r="29" ht="15.75" customHeight="1">
      <c r="A29">
        <v>27</v>
      </c>
      <c r="B29" s="26">
        <v>3.6000000000000001</v>
      </c>
    </row>
    <row r="30" ht="15.75" customHeight="1">
      <c r="A30">
        <v>28</v>
      </c>
      <c r="B30" s="26">
        <v>3.7000000000000002</v>
      </c>
    </row>
    <row r="31" ht="15.75" customHeight="1">
      <c r="A31">
        <v>29</v>
      </c>
      <c r="B31" s="26">
        <v>3.7999999999999998</v>
      </c>
    </row>
    <row r="32" ht="15.75" customHeight="1">
      <c r="A32">
        <v>30</v>
      </c>
      <c r="B32" s="26">
        <v>3.8999999999999999</v>
      </c>
    </row>
    <row r="33" ht="15.75" customHeight="1">
      <c r="A33">
        <v>31</v>
      </c>
      <c r="B33" s="26">
        <v>4</v>
      </c>
    </row>
    <row r="34" ht="15.75" customHeight="1">
      <c r="A34">
        <v>32</v>
      </c>
      <c r="B34" s="26">
        <v>4.0999999999999996</v>
      </c>
    </row>
    <row r="35" ht="15.75" customHeight="1">
      <c r="A35">
        <v>33</v>
      </c>
      <c r="B35" s="26">
        <v>4.2999999999999998</v>
      </c>
    </row>
    <row r="36" ht="15.75" customHeight="1">
      <c r="A36">
        <v>34</v>
      </c>
      <c r="B36" s="26">
        <v>4.4000000000000004</v>
      </c>
    </row>
    <row r="37" ht="15.75" customHeight="1">
      <c r="A37">
        <v>35</v>
      </c>
      <c r="B37" s="26">
        <v>4.5</v>
      </c>
    </row>
    <row r="38" ht="15.75" customHeight="1">
      <c r="A38">
        <v>36</v>
      </c>
      <c r="B38" s="26">
        <v>4.7000000000000002</v>
      </c>
    </row>
    <row r="39" ht="15.75" customHeight="1">
      <c r="A39">
        <v>37</v>
      </c>
      <c r="B39" s="26">
        <v>4.7999999999999998</v>
      </c>
    </row>
    <row r="40" ht="15.75" customHeight="1">
      <c r="A40">
        <v>38</v>
      </c>
      <c r="B40" s="26">
        <v>5</v>
      </c>
    </row>
    <row r="41" ht="15.75" customHeight="1">
      <c r="A41">
        <v>39</v>
      </c>
      <c r="B41" s="26">
        <v>5.0999999999999996</v>
      </c>
    </row>
    <row r="42" ht="15.75" customHeight="1">
      <c r="A42">
        <v>40</v>
      </c>
      <c r="B42" s="26">
        <v>5.2999999999999998</v>
      </c>
    </row>
    <row r="43" ht="15.75" customHeight="1">
      <c r="A43">
        <v>41</v>
      </c>
      <c r="B43" s="26">
        <v>5.4000000000000004</v>
      </c>
    </row>
    <row r="44" ht="15.75" customHeight="1">
      <c r="A44">
        <v>42</v>
      </c>
      <c r="B44" s="26">
        <v>5.5999999999999996</v>
      </c>
    </row>
    <row r="45" ht="15.75" customHeight="1">
      <c r="A45">
        <v>43</v>
      </c>
      <c r="B45" s="26">
        <v>5.7000000000000002</v>
      </c>
    </row>
    <row r="46" ht="15.75" customHeight="1">
      <c r="A46">
        <v>44</v>
      </c>
      <c r="B46" s="26">
        <v>5.7999999999999998</v>
      </c>
    </row>
    <row r="47" ht="15.75" customHeight="1">
      <c r="A47">
        <v>45</v>
      </c>
      <c r="B47" s="26">
        <v>6</v>
      </c>
    </row>
    <row r="48" ht="15.75" customHeight="1">
      <c r="A48">
        <v>46</v>
      </c>
      <c r="B48" s="26">
        <v>6.0999999999999996</v>
      </c>
    </row>
    <row r="49" ht="15.75" customHeight="1">
      <c r="A49">
        <v>47</v>
      </c>
      <c r="B49" s="26">
        <v>6.2999999999999998</v>
      </c>
    </row>
    <row r="50" ht="15.75" customHeight="1">
      <c r="A50">
        <v>48</v>
      </c>
      <c r="B50" s="26">
        <v>6.4000000000000004</v>
      </c>
    </row>
    <row r="51" ht="15.75" customHeight="1">
      <c r="A51">
        <v>49</v>
      </c>
      <c r="B51" s="26">
        <v>6.5999999999999996</v>
      </c>
    </row>
    <row r="52" ht="15.75" customHeight="1">
      <c r="A52">
        <v>50</v>
      </c>
      <c r="B52" s="26">
        <v>6.7000000000000002</v>
      </c>
    </row>
    <row r="53" ht="15.75" customHeight="1">
      <c r="A53">
        <v>51</v>
      </c>
      <c r="B53" s="26">
        <v>6.9000000000000004</v>
      </c>
    </row>
    <row r="54" ht="15.75" customHeight="1">
      <c r="A54">
        <v>52</v>
      </c>
      <c r="B54" s="26">
        <v>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5" zoomScale="100" workbookViewId="0">
      <selection activeCell="A153" activeCellId="0" sqref="A153:B162"/>
    </sheetView>
  </sheetViews>
  <sheetFormatPr defaultColWidth="14.42578125" defaultRowHeight="15" customHeight="1"/>
  <cols>
    <col customWidth="1" min="1" max="26" width="10.7109375"/>
  </cols>
  <sheetData>
    <row r="1" ht="14.449999999999999">
      <c r="A1" t="s">
        <v>70</v>
      </c>
      <c r="B1" t="s">
        <v>71</v>
      </c>
    </row>
    <row r="2" ht="14.449999999999999">
      <c r="A2">
        <v>0</v>
      </c>
      <c r="B2">
        <v>1</v>
      </c>
    </row>
    <row r="3" ht="14.449999999999999">
      <c r="A3">
        <v>0.5</v>
      </c>
      <c r="B3">
        <v>1.1000000000000001</v>
      </c>
    </row>
    <row r="4" ht="14.449999999999999">
      <c r="A4">
        <v>1</v>
      </c>
      <c r="B4">
        <v>1.2</v>
      </c>
    </row>
    <row r="5" ht="14.449999999999999">
      <c r="A5">
        <v>1.5</v>
      </c>
      <c r="B5">
        <v>1.3</v>
      </c>
    </row>
    <row r="6" ht="14.449999999999999">
      <c r="A6">
        <v>2</v>
      </c>
      <c r="B6">
        <v>1.3999999999999999</v>
      </c>
    </row>
    <row r="7" ht="14.449999999999999">
      <c r="A7">
        <v>2.5</v>
      </c>
      <c r="B7">
        <v>1.5</v>
      </c>
    </row>
    <row r="8" ht="14.449999999999999">
      <c r="A8">
        <v>3</v>
      </c>
      <c r="B8">
        <v>1.6000000000000001</v>
      </c>
    </row>
    <row r="9" ht="14.449999999999999">
      <c r="A9">
        <v>3.5</v>
      </c>
      <c r="B9">
        <v>1.7</v>
      </c>
    </row>
    <row r="10" ht="14.449999999999999">
      <c r="A10">
        <v>4</v>
      </c>
      <c r="B10">
        <v>1.8</v>
      </c>
    </row>
    <row r="11" ht="14.449999999999999">
      <c r="A11">
        <v>4.5</v>
      </c>
      <c r="B11">
        <v>1.8999999999999999</v>
      </c>
    </row>
    <row r="12" ht="14.449999999999999">
      <c r="A12">
        <v>5</v>
      </c>
      <c r="B12">
        <v>2</v>
      </c>
    </row>
    <row r="13" ht="14.449999999999999">
      <c r="A13">
        <v>5.5</v>
      </c>
      <c r="B13">
        <v>2.1000000000000001</v>
      </c>
    </row>
    <row r="14" ht="14.449999999999999">
      <c r="A14">
        <v>6</v>
      </c>
      <c r="B14">
        <v>2.2000000000000002</v>
      </c>
    </row>
    <row r="15" ht="14.449999999999999">
      <c r="A15">
        <v>6.5</v>
      </c>
      <c r="B15">
        <v>2.2999999999999998</v>
      </c>
    </row>
    <row r="16" ht="14.449999999999999">
      <c r="A16">
        <v>7</v>
      </c>
      <c r="B16">
        <v>2.3999999999999999</v>
      </c>
    </row>
    <row r="17" ht="14.449999999999999">
      <c r="A17">
        <v>7.5</v>
      </c>
      <c r="B17">
        <v>2.5</v>
      </c>
    </row>
    <row r="18" ht="14.449999999999999">
      <c r="A18">
        <v>8</v>
      </c>
      <c r="B18">
        <v>2.6000000000000001</v>
      </c>
    </row>
    <row r="19" ht="14.449999999999999">
      <c r="A19">
        <v>8.5</v>
      </c>
      <c r="B19">
        <v>2.7000000000000002</v>
      </c>
    </row>
    <row r="20" ht="14.449999999999999">
      <c r="A20">
        <v>9</v>
      </c>
      <c r="B20">
        <v>2.7999999999999998</v>
      </c>
    </row>
    <row r="21" ht="15.75" customHeight="1">
      <c r="A21">
        <v>9.5</v>
      </c>
      <c r="B21">
        <v>2.8999999999999999</v>
      </c>
    </row>
    <row r="22" ht="15.75" customHeight="1">
      <c r="A22">
        <v>10</v>
      </c>
      <c r="B22">
        <v>3</v>
      </c>
    </row>
    <row r="23" ht="15.75" customHeight="1">
      <c r="A23">
        <v>10.5</v>
      </c>
      <c r="B23">
        <v>3.1000000000000001</v>
      </c>
    </row>
    <row r="24" ht="15.75" customHeight="1">
      <c r="A24">
        <v>11</v>
      </c>
      <c r="B24">
        <v>3.2000000000000002</v>
      </c>
    </row>
    <row r="25" ht="15.75" customHeight="1">
      <c r="A25">
        <v>11.5</v>
      </c>
      <c r="B25">
        <v>3.2999999999999998</v>
      </c>
    </row>
    <row r="26" ht="15.75" customHeight="1">
      <c r="A26">
        <v>12</v>
      </c>
      <c r="B26">
        <v>3.3999999999999999</v>
      </c>
    </row>
    <row r="27" ht="15.75" customHeight="1">
      <c r="A27">
        <v>12.5</v>
      </c>
      <c r="B27">
        <v>3.5</v>
      </c>
    </row>
    <row r="28" ht="15.75" customHeight="1">
      <c r="A28">
        <v>13</v>
      </c>
      <c r="B28">
        <v>3.6000000000000001</v>
      </c>
    </row>
    <row r="29" ht="15.75" customHeight="1">
      <c r="A29">
        <v>13.5</v>
      </c>
      <c r="B29">
        <v>3.7000000000000002</v>
      </c>
    </row>
    <row r="30" ht="15.75" customHeight="1">
      <c r="A30">
        <v>14</v>
      </c>
      <c r="B30">
        <v>3.7999999999999998</v>
      </c>
    </row>
    <row r="31" ht="15.75" customHeight="1">
      <c r="A31">
        <v>14.5</v>
      </c>
      <c r="B31">
        <v>3.8999999999999999</v>
      </c>
    </row>
    <row r="32" ht="15.75" customHeight="1">
      <c r="A32">
        <v>15</v>
      </c>
      <c r="B32">
        <v>4</v>
      </c>
    </row>
    <row r="33" ht="15.75" customHeight="1">
      <c r="A33">
        <v>15.5</v>
      </c>
      <c r="B33">
        <v>4.2000000000000002</v>
      </c>
    </row>
    <row r="34" ht="15.75" customHeight="1">
      <c r="A34">
        <v>16</v>
      </c>
      <c r="B34">
        <v>4.2999999999999998</v>
      </c>
    </row>
    <row r="35" ht="15.75" customHeight="1">
      <c r="A35">
        <v>16.5</v>
      </c>
      <c r="B35">
        <v>4.5</v>
      </c>
    </row>
    <row r="36" ht="15.75" customHeight="1">
      <c r="A36">
        <v>17</v>
      </c>
      <c r="B36">
        <v>4.5999999999999996</v>
      </c>
    </row>
    <row r="37" ht="15.75" customHeight="1">
      <c r="A37">
        <v>17.5</v>
      </c>
      <c r="B37">
        <v>4.7999999999999998</v>
      </c>
    </row>
    <row r="38" ht="15.75" customHeight="1">
      <c r="A38">
        <v>18</v>
      </c>
      <c r="B38">
        <v>4.9000000000000004</v>
      </c>
    </row>
    <row r="39" ht="15.75" customHeight="1">
      <c r="A39">
        <v>18.5</v>
      </c>
      <c r="B39">
        <v>5.0999999999999996</v>
      </c>
    </row>
    <row r="40" ht="15.75" customHeight="1">
      <c r="A40">
        <v>19</v>
      </c>
      <c r="B40">
        <v>5.2000000000000002</v>
      </c>
    </row>
    <row r="41" ht="15.75" customHeight="1">
      <c r="A41">
        <v>19.5</v>
      </c>
      <c r="B41">
        <v>5.4000000000000004</v>
      </c>
    </row>
    <row r="42" ht="15.75" customHeight="1">
      <c r="A42">
        <v>20</v>
      </c>
      <c r="B42">
        <v>5.5</v>
      </c>
    </row>
    <row r="43" ht="15.75" customHeight="1">
      <c r="A43">
        <v>20.5</v>
      </c>
      <c r="B43">
        <v>5.7000000000000002</v>
      </c>
    </row>
    <row r="44" ht="15.75" customHeight="1">
      <c r="A44">
        <v>21</v>
      </c>
      <c r="B44">
        <v>5.7999999999999998</v>
      </c>
    </row>
    <row r="45" ht="15.75" customHeight="1">
      <c r="A45">
        <v>21.5</v>
      </c>
      <c r="B45">
        <v>6</v>
      </c>
    </row>
    <row r="46" ht="15.75" customHeight="1">
      <c r="A46">
        <v>22</v>
      </c>
      <c r="B46">
        <v>6.0999999999999996</v>
      </c>
    </row>
    <row r="47" ht="15.75" customHeight="1">
      <c r="A47">
        <v>22.5</v>
      </c>
      <c r="B47">
        <v>6.2999999999999998</v>
      </c>
    </row>
    <row r="48" ht="15.75" customHeight="1">
      <c r="A48">
        <v>23</v>
      </c>
      <c r="B48">
        <v>6.4000000000000004</v>
      </c>
    </row>
    <row r="49" ht="15.75" customHeight="1">
      <c r="A49">
        <v>23.5</v>
      </c>
      <c r="B49">
        <v>6.5999999999999996</v>
      </c>
    </row>
    <row r="50" ht="15.75" customHeight="1">
      <c r="A50">
        <v>24</v>
      </c>
      <c r="B50">
        <v>6.7000000000000002</v>
      </c>
    </row>
    <row r="51" ht="15.75" customHeight="1">
      <c r="A51">
        <v>24.5</v>
      </c>
      <c r="B51">
        <v>6.9000000000000004</v>
      </c>
    </row>
    <row r="52" ht="15.75" customHeight="1">
      <c r="A52">
        <v>25</v>
      </c>
      <c r="B52">
        <v>7</v>
      </c>
    </row>
    <row r="53" ht="15.75" customHeight="1">
      <c r="B53" s="26"/>
    </row>
    <row r="54" ht="15.75" customHeight="1">
      <c r="B54" s="2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12" activeCellId="0" sqref="D12"/>
    </sheetView>
  </sheetViews>
  <sheetFormatPr defaultColWidth="14.42578125" defaultRowHeight="15" customHeight="1"/>
  <cols>
    <col customWidth="1" min="1" max="25" width="10.7109375"/>
  </cols>
  <sheetData>
    <row r="1" ht="14.449999999999999">
      <c r="A1" s="67" t="s">
        <v>76</v>
      </c>
      <c r="B1" s="68" t="s">
        <v>70</v>
      </c>
      <c r="C1" s="69"/>
      <c r="D1" s="69"/>
      <c r="E1" s="70"/>
    </row>
    <row r="2" ht="43.899999999999999">
      <c r="A2" s="71"/>
      <c r="B2" s="72" t="s">
        <v>67</v>
      </c>
      <c r="C2" s="73" t="s">
        <v>68</v>
      </c>
      <c r="D2" s="73" t="s">
        <v>77</v>
      </c>
      <c r="E2" s="74" t="s">
        <v>6</v>
      </c>
    </row>
    <row r="3" ht="29.449999999999999">
      <c r="A3" s="75" t="s">
        <v>78</v>
      </c>
      <c r="B3" s="76">
        <v>4</v>
      </c>
      <c r="C3" s="76">
        <v>3</v>
      </c>
      <c r="D3" s="76">
        <v>2</v>
      </c>
      <c r="E3" s="76">
        <v>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revision>2</cp:revision>
  <dcterms:created xsi:type="dcterms:W3CDTF">2023-08-07T04:08:01Z</dcterms:created>
  <dcterms:modified xsi:type="dcterms:W3CDTF">2025-12-07T23:36:52Z</dcterms:modified>
  <cp:category/>
  <cp:contentStatus/>
</cp:coreProperties>
</file>